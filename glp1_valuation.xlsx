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sector_Overview" sheetId="2" state="visible" r:id="rId2"/>
    <sheet name="AMGN_FCFF" sheetId="3" state="visible" r:id="rId3"/>
    <sheet name="AMGN_WACC" sheetId="4" state="visible" r:id="rId4"/>
    <sheet name="VKTX_rNPV_FCFF" sheetId="5" state="visible" r:id="rId5"/>
    <sheet name="VKTX_WACC" sheetId="6" state="visible" r:id="rId6"/>
    <sheet name="Sensitivity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0.000"/>
    <numFmt numFmtId="167" formatCode="$#,##0.00"/>
    <numFmt numFmtId="168" formatCode="#,##0.0"/>
    <numFmt numFmtId="169" formatCode="+0.0%;-0.0%"/>
  </numFmts>
  <fonts count="9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F3864"/>
      <sz val="12"/>
    </font>
    <font>
      <b val="1"/>
      <color rgb="00FFFFFF"/>
    </font>
    <font>
      <i val="1"/>
      <color rgb="00555555"/>
      <sz val="9"/>
    </font>
    <font>
      <b val="1"/>
    </font>
    <font>
      <b val="1"/>
      <sz val="12"/>
    </font>
    <font>
      <sz val="10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0" fillId="4" borderId="0" applyAlignment="1" pivotButton="0" quotePrefix="0" xfId="0">
      <alignment vertical="top" wrapText="1"/>
    </xf>
    <xf numFmtId="10" fontId="0" fillId="5" borderId="0" pivotButton="0" quotePrefix="0" xfId="0"/>
    <xf numFmtId="2" fontId="0" fillId="5" borderId="0" pivotButton="0" quotePrefix="0" xfId="0"/>
    <xf numFmtId="0" fontId="5" fillId="0" borderId="0" pivotButton="0" quotePrefix="0" xfId="0"/>
    <xf numFmtId="10" fontId="5" fillId="6" borderId="0" pivotButton="0" quotePrefix="0" xfId="0"/>
    <xf numFmtId="3" fontId="0" fillId="5" borderId="0" pivotButton="0" quotePrefix="0" xfId="0"/>
    <xf numFmtId="10" fontId="0" fillId="6" borderId="0" pivotButton="0" quotePrefix="0" xfId="0"/>
    <xf numFmtId="3" fontId="0" fillId="6" borderId="0" pivotButton="0" quotePrefix="0" xfId="0"/>
    <xf numFmtId="164" fontId="0" fillId="6" borderId="0" pivotButton="0" quotePrefix="0" xfId="0"/>
    <xf numFmtId="10" fontId="6" fillId="6" borderId="0" pivotButton="0" quotePrefix="0" xfId="0"/>
    <xf numFmtId="164" fontId="0" fillId="5" borderId="0" pivotButton="0" quotePrefix="0" xfId="0"/>
    <xf numFmtId="1" fontId="0" fillId="5" borderId="0" pivotButton="0" quotePrefix="0" xfId="0"/>
    <xf numFmtId="165" fontId="0" fillId="5" borderId="0" pivotButton="0" quotePrefix="0" xfId="0"/>
    <xf numFmtId="0" fontId="5" fillId="7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3" fontId="5" fillId="6" borderId="0" pivotButton="0" quotePrefix="0" xfId="0"/>
    <xf numFmtId="167" fontId="0" fillId="5" borderId="0" pivotButton="0" quotePrefix="0" xfId="0"/>
    <xf numFmtId="167" fontId="5" fillId="6" borderId="0" pivotButton="0" quotePrefix="0" xfId="0"/>
    <xf numFmtId="167" fontId="6" fillId="6" borderId="0" pivotButton="0" quotePrefix="0" xfId="0"/>
    <xf numFmtId="164" fontId="5" fillId="6" borderId="0" pivotButton="0" quotePrefix="0" xfId="0"/>
    <xf numFmtId="168" fontId="0" fillId="5" borderId="0" pivotButton="0" quotePrefix="0" xfId="0"/>
    <xf numFmtId="168" fontId="0" fillId="0" borderId="0" pivotButton="0" quotePrefix="0" xfId="0"/>
    <xf numFmtId="167" fontId="0" fillId="6" borderId="0" pivotButton="0" quotePrefix="0" xfId="0"/>
    <xf numFmtId="167" fontId="0" fillId="0" borderId="0" pivotButton="0" quotePrefix="0" xfId="0"/>
    <xf numFmtId="169" fontId="0" fillId="8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167" fontId="0" fillId="0" borderId="1" applyAlignment="1" pivotButton="0" quotePrefix="0" xfId="0">
      <alignment horizontal="center"/>
    </xf>
    <xf numFmtId="167" fontId="0" fillId="8" borderId="1" applyAlignment="1" pivotButton="0" quotePrefix="0" xfId="0">
      <alignment horizontal="center"/>
    </xf>
    <xf numFmtId="167" fontId="0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EXECUTIVE SUMMARY — GLP-1 subsector valuation (AMGN + VKTX)</t>
        </is>
      </c>
    </row>
    <row r="3">
      <c r="A3" s="3" t="inlineStr">
        <is>
          <t>Stock</t>
        </is>
      </c>
      <c r="B3" s="3" t="inlineStr">
        <is>
          <t>Current</t>
        </is>
      </c>
      <c r="C3" s="3" t="inlineStr">
        <is>
          <t>Fair value (base)</t>
        </is>
      </c>
      <c r="D3" s="3" t="inlineStr">
        <is>
          <t>FV range</t>
        </is>
      </c>
      <c r="E3" s="3" t="inlineStr">
        <is>
          <t>Up/(down)</t>
        </is>
      </c>
      <c r="F3" s="3" t="inlineStr">
        <is>
          <t>Key swing factor</t>
        </is>
      </c>
    </row>
    <row r="4" ht="44" customHeight="1">
      <c r="A4" s="11" t="inlineStr">
        <is>
          <t>Amgen (AMGN)</t>
        </is>
      </c>
      <c r="B4" s="33" t="n">
        <v>339</v>
      </c>
      <c r="C4" s="27" t="n">
        <v>282.1</v>
      </c>
      <c r="D4" t="inlineStr">
        <is>
          <t>$208–322</t>
        </is>
      </c>
      <c r="E4" s="34" t="n">
        <v>-0.1678591954137161</v>
      </c>
      <c r="F4" s="4" t="inlineStr">
        <is>
          <t>Base-business durability + terminal WACC/g; MariTide is a call option, not the thesis</t>
        </is>
      </c>
    </row>
    <row r="5" ht="44" customHeight="1">
      <c r="A5" s="11" t="inlineStr">
        <is>
          <t>Viking (VKTX) solo</t>
        </is>
      </c>
      <c r="B5" s="33" t="n">
        <v>31.33</v>
      </c>
      <c r="C5" s="27" t="n">
        <v>16.44</v>
      </c>
      <c r="D5" t="inlineStr">
        <is>
          <t>$8–35</t>
        </is>
      </c>
      <c r="E5" s="34" t="n">
        <v>-0.4753156715385666</v>
      </c>
      <c r="F5" s="4" t="inlineStr">
        <is>
          <t>VK2735 sub-q PoS x peak x dilution; partner/takeout is the real value path</t>
        </is>
      </c>
    </row>
    <row r="7">
      <c r="A7" s="11" t="inlineStr">
        <is>
          <t>VKTX scenarios ($/sh):</t>
        </is>
      </c>
      <c r="B7" s="35" t="inlineStr">
        <is>
          <t>Solo (dil.) $16.44  |  Partnership $16.06  |  Acquisition $34.93</t>
        </is>
      </c>
    </row>
    <row r="9">
      <c r="A9" s="2" t="inlineStr">
        <is>
          <t>Verdict &amp; what would change my mind</t>
        </is>
      </c>
    </row>
    <row r="10" ht="90" customHeight="1">
      <c r="A10" s="21" t="inlineStr">
        <is>
          <t>AMGN</t>
        </is>
      </c>
      <c r="B10" s="4" t="inlineStr">
        <is>
          <t>BASE ~$282 vs $339 (-17%). A low-beta megacap discounted at ~7% still doesn't screen cheap once you erode Prolia/Xgeva and risk-adjust MariTide. This is a HOLD-quality name, not a GLP-1 growth call. CHANGE MY MIND: MariTide Phase-3 CV-outcomes data that supports &gt;$8bn peak AND clean tolerability (fixing the P2 GI/discontinuation problem) — that would justify raising PoS toward 70% and peak.</t>
        </is>
      </c>
    </row>
    <row r="11" ht="90" customHeight="1">
      <c r="A11" s="21" t="inlineStr">
        <is>
          <t>VKTX</t>
        </is>
      </c>
      <c r="B11" s="4" t="inlineStr">
        <is>
          <t>Solo rNPV ~$16 is BELOW the $31 price; the stock is priced for the partnership/takeout outcome (~$35), consistent with the Metsera bidding war. The Street's $80–102 targets embed ~$20bn peak + high PoS + no dilution — three things at once. RED FLAG on any &gt;50% upside print: it is driven almost entirely by sub-q PoS x peak. CHANGE MY MIND: positive VANQUISH-1/2 topline (de-risks PoS to ~90%) or a signed partner/takeout that removes the financing overhang and dilution.</t>
        </is>
      </c>
    </row>
    <row r="13" ht="40" customHeight="1">
      <c r="A13" s="11" t="inlineStr">
        <is>
          <t>Red-flag check (per hard rules):</t>
        </is>
      </c>
      <c r="B13" s="36" t="inlineStr">
        <is>
          <t>AMGN base -17% and VKTX solo -48% are within +/-50%. VKTX acquisition scenario exceeds +50% by design — single driver is sub-q PoS x peak, disclosed on Sensitivity tab.</t>
        </is>
      </c>
    </row>
  </sheetData>
  <mergeCells count="5">
    <mergeCell ref="A1:H1"/>
    <mergeCell ref="B13:H13"/>
    <mergeCell ref="B10:H10"/>
    <mergeCell ref="B11:H11"/>
    <mergeCell ref="B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 ht="24" customHeight="1">
      <c r="A1" s="1" t="inlineStr">
        <is>
          <t>GLP-1 / Obesity Subsector — Overview (ex-LLY, ex-NVO)</t>
        </is>
      </c>
    </row>
    <row r="3">
      <c r="A3" s="2" t="inlineStr">
        <is>
          <t>1a. GLP-1 / Anti-Obesity TAM — show the RANGE, not one number</t>
        </is>
      </c>
    </row>
    <row r="4">
      <c r="A4" s="3" t="inlineStr">
        <is>
          <t>Source</t>
        </is>
      </c>
      <c r="B4" s="3" t="inlineStr">
        <is>
          <t>TAM estimate</t>
        </is>
      </c>
      <c r="C4" s="3" t="inlineStr">
        <is>
          <t>Year</t>
        </is>
      </c>
      <c r="D4" s="3" t="inlineStr">
        <is>
          <t>Scope note</t>
        </is>
      </c>
    </row>
    <row r="5">
      <c r="A5" t="inlineStr">
        <is>
          <t>Goldman Sachs Research</t>
        </is>
      </c>
      <c r="B5" t="inlineStr">
        <is>
          <t>$95–100 bn</t>
        </is>
      </c>
      <c r="C5" t="inlineStr">
        <is>
          <t>2030</t>
        </is>
      </c>
      <c r="D5" s="4" t="inlineStr">
        <is>
          <t>Anti-obesity drugs (addressable)</t>
        </is>
      </c>
    </row>
    <row r="6">
      <c r="A6" t="inlineStr">
        <is>
          <t>Morgan Stanley Research</t>
        </is>
      </c>
      <c r="B6" t="inlineStr">
        <is>
          <t>$150 bn (obesity) / $190 bn incl. T2D</t>
        </is>
      </c>
      <c r="C6" t="inlineStr">
        <is>
          <t>2035</t>
        </is>
      </c>
      <c r="D6" s="4" t="inlineStr">
        <is>
          <t>Obesity + diabetes GLP-1</t>
        </is>
      </c>
    </row>
    <row r="7">
      <c r="A7" t="inlineStr">
        <is>
          <t>Grand View Research</t>
        </is>
      </c>
      <c r="B7" t="inlineStr">
        <is>
          <t>$48.8 bn</t>
        </is>
      </c>
      <c r="C7" t="inlineStr">
        <is>
          <t>2030</t>
        </is>
      </c>
      <c r="D7" s="4" t="inlineStr">
        <is>
          <t>GLP-1 weight-loss drugs (narrower)</t>
        </is>
      </c>
    </row>
    <row r="8">
      <c r="A8" t="inlineStr">
        <is>
          <t>Future Market Insights</t>
        </is>
      </c>
      <c r="B8" t="inlineStr">
        <is>
          <t>$39.5 bn</t>
        </is>
      </c>
      <c r="C8" t="inlineStr">
        <is>
          <t>2030</t>
        </is>
      </c>
      <c r="D8" s="4" t="inlineStr">
        <is>
          <t>Obesity-GLP-1 only</t>
        </is>
      </c>
    </row>
    <row r="9">
      <c r="A9" t="inlineStr">
        <is>
          <t>Precedence Research</t>
        </is>
      </c>
      <c r="B9" t="inlineStr">
        <is>
          <t>$66.6 bn</t>
        </is>
      </c>
      <c r="C9" t="inlineStr">
        <is>
          <t>2035</t>
        </is>
      </c>
      <c r="D9" s="4" t="inlineStr">
        <is>
          <t>Obesity-GLP-1</t>
        </is>
      </c>
    </row>
    <row r="10">
      <c r="A10" t="inlineStr">
        <is>
          <t>Goldman (bear note)</t>
        </is>
      </c>
      <c r="B10" t="inlineStr">
        <is>
          <t>Market 'may be smaller than expected'</t>
        </is>
      </c>
      <c r="C10" t="inlineStr">
        <is>
          <t>—</t>
        </is>
      </c>
      <c r="D10" s="4" t="inlineStr">
        <is>
          <t>Pricing/persistence downside</t>
        </is>
      </c>
    </row>
    <row r="11" ht="28" customHeight="1">
      <c r="A11" s="5" t="inlineStr">
        <is>
          <t>Range 2030: ~$40bn (narrow scope) to ~$100bn (broad). Dispersion is driven by scope (obesity-only vs incl. T2D), net-pricing assumptions, and persistence. Use the RANGE.</t>
        </is>
      </c>
    </row>
    <row r="13">
      <c r="A13" s="2" t="inlineStr">
        <is>
          <t>1b. Competitive map (ex-LLY / ex-NVO) — the 'everyone else' cohort</t>
        </is>
      </c>
    </row>
    <row r="14">
      <c r="A14" s="3" t="inlineStr">
        <is>
          <t>Company (ticker)</t>
        </is>
      </c>
      <c r="B14" s="3" t="inlineStr">
        <is>
          <t>Lead asset</t>
        </is>
      </c>
      <c r="C14" s="3" t="inlineStr">
        <is>
          <t>Mechanism</t>
        </is>
      </c>
      <c r="D14" s="3" t="inlineStr">
        <is>
          <t>Furthest phase (mid-2026)</t>
        </is>
      </c>
      <c r="E14" s="3" t="inlineStr">
        <is>
          <t>Expected launch</t>
        </is>
      </c>
      <c r="F14" s="3" t="inlineStr">
        <is>
          <t>Note</t>
        </is>
      </c>
    </row>
    <row r="15" ht="30" customHeight="1">
      <c r="A15" s="6" t="inlineStr">
        <is>
          <t>Amgen (AMGN)</t>
        </is>
      </c>
      <c r="B15" s="6" t="inlineStr">
        <is>
          <t>MariTide (maridebart cafraglutide)</t>
        </is>
      </c>
      <c r="C15" s="6" t="inlineStr">
        <is>
          <t>GLP-1 agonist / GIPR antagonist, monthly</t>
        </is>
      </c>
      <c r="D15" s="6" t="inlineStr">
        <is>
          <t>Phase 3 (MARITIME enrolling)</t>
        </is>
      </c>
      <c r="E15" s="6" t="inlineStr">
        <is>
          <t>~2030</t>
        </is>
      </c>
      <c r="F15" s="6" t="inlineStr">
        <is>
          <t>Monthly dosing edge; P2 GI tolerability an issue</t>
        </is>
      </c>
    </row>
    <row r="16" ht="30" customHeight="1">
      <c r="A16" s="6" t="inlineStr">
        <is>
          <t>Viking Thx (VKTX)</t>
        </is>
      </c>
      <c r="B16" s="6" t="inlineStr">
        <is>
          <t>VK2735 sub-q</t>
        </is>
      </c>
      <c r="C16" s="6" t="inlineStr">
        <is>
          <t>GLP-1/GIP dual agonist, weekly</t>
        </is>
      </c>
      <c r="D16" s="6" t="inlineStr">
        <is>
          <t>Phase 3 (VANQUISH-1/2 enrolled)</t>
        </is>
      </c>
      <c r="E16" s="6" t="inlineStr">
        <is>
          <t>~2028</t>
        </is>
      </c>
      <c r="F16" s="6" t="inlineStr">
        <is>
          <t>Fully enrolled; needs capital/partner</t>
        </is>
      </c>
    </row>
    <row r="17" ht="30" customHeight="1">
      <c r="A17" s="6" t="inlineStr">
        <is>
          <t>Viking Thx (VKTX)</t>
        </is>
      </c>
      <c r="B17" s="6" t="inlineStr">
        <is>
          <t>VK2735 oral</t>
        </is>
      </c>
      <c r="C17" s="6" t="inlineStr">
        <is>
          <t>GLP-1/GIP dual agonist, oral</t>
        </is>
      </c>
      <c r="D17" s="6" t="inlineStr">
        <is>
          <t>Phase 3 start 4Q26</t>
        </is>
      </c>
      <c r="E17" s="6" t="inlineStr">
        <is>
          <t>~2030–31</t>
        </is>
      </c>
      <c r="F17" s="6" t="inlineStr">
        <is>
          <t>P2 VENTURE-Oral up to ~12% at 13 wks</t>
        </is>
      </c>
    </row>
    <row r="18" ht="30" customHeight="1">
      <c r="A18" s="6" t="inlineStr">
        <is>
          <t>Structure Thx (GPCR)</t>
        </is>
      </c>
      <c r="B18" s="6" t="inlineStr">
        <is>
          <t>Aleniglipron (GSBR-1290)</t>
        </is>
      </c>
      <c r="C18" s="6" t="inlineStr">
        <is>
          <t>Oral small-molecule GLP-1</t>
        </is>
      </c>
      <c r="D18" s="6" t="inlineStr">
        <is>
          <t>Phase 3 (advancing)</t>
        </is>
      </c>
      <c r="E18" s="6" t="inlineStr">
        <is>
          <t>~2029–30</t>
        </is>
      </c>
      <c r="F18" s="6" t="inlineStr">
        <is>
          <t>Oral small molecule = scalable/cheap</t>
        </is>
      </c>
    </row>
    <row r="19" ht="30" customHeight="1">
      <c r="A19" s="6" t="inlineStr">
        <is>
          <t>Roche (RHHBY)</t>
        </is>
      </c>
      <c r="B19" s="6" t="inlineStr">
        <is>
          <t>CT-388 (enicepatide)</t>
        </is>
      </c>
      <c r="C19" s="6" t="inlineStr">
        <is>
          <t>GLP-1/GIP dual agonist, sub-q</t>
        </is>
      </c>
      <c r="D19" s="6" t="inlineStr">
        <is>
          <t>Phase 3 (starting)</t>
        </is>
      </c>
      <c r="E19" s="6" t="inlineStr">
        <is>
          <t>~2029–30</t>
        </is>
      </c>
      <c r="F19" s="6" t="inlineStr">
        <is>
          <t>+ petrelintide (amylin) combo optionality</t>
        </is>
      </c>
    </row>
    <row r="20" ht="30" customHeight="1">
      <c r="A20" s="6" t="inlineStr">
        <is>
          <t>AstraZeneca (AZN)</t>
        </is>
      </c>
      <c r="B20" s="6" t="inlineStr">
        <is>
          <t>AZD5004</t>
        </is>
      </c>
      <c r="C20" s="6" t="inlineStr">
        <is>
          <t>Oral small-molecule GLP-1</t>
        </is>
      </c>
      <c r="D20" s="6" t="inlineStr">
        <is>
          <t>Phase 2b (VISTA/SOLSTICE)</t>
        </is>
      </c>
      <c r="E20" s="6" t="inlineStr">
        <is>
          <t>~2030+</t>
        </is>
      </c>
      <c r="F20" s="6" t="inlineStr">
        <is>
          <t>Licensed from Eccogene; + amylin AZD6234</t>
        </is>
      </c>
    </row>
    <row r="21" ht="30" customHeight="1">
      <c r="A21" s="6" t="inlineStr">
        <is>
          <t>Zealand/Boehringer</t>
        </is>
      </c>
      <c r="B21" s="6" t="inlineStr">
        <is>
          <t>Survodutide (BI 456906)</t>
        </is>
      </c>
      <c r="C21" s="6" t="inlineStr">
        <is>
          <t>GLP-1/glucagon dual agonist</t>
        </is>
      </c>
      <c r="D21" s="6" t="inlineStr">
        <is>
          <t>Phase 3</t>
        </is>
      </c>
      <c r="E21" s="6" t="inlineStr">
        <is>
          <t>~2027–28</t>
        </is>
      </c>
      <c r="F21" s="6" t="inlineStr">
        <is>
          <t>MASH + obesity; ~85% achieved &gt;=5% loss</t>
        </is>
      </c>
    </row>
    <row r="23">
      <c r="A23" s="7" t="inlineStr">
        <is>
          <t>1c. Subsector BEAR case (one paragraph)</t>
        </is>
      </c>
    </row>
    <row r="24" ht="120" customHeight="1">
      <c r="A24" s="8" t="inlineStr">
        <is>
          <t>The ex-LLY/NVO cohort is fighting for a SHARE of a market already owned by two entrenched incumbents with manufacturing scale, formulary lock-in and 3–4 year head starts. Three structural threats compress the prize: (1) PRICING — U.S. net prices are already falling as LLY/NVO discount cash-pay and cut deals; a 3rd–7th entrant has no pricing power and competes on rebates. (2) IRA / CMS — GLP-1s are prime Medicare price-negotiation targets; semaglutide is already in the CMS pipeline, and any class read-through caps the back half of every DCF. (3) ORAL COMMODITIZATION — a wave of oral small molecules (GPCR, AZN, oral VK2735, LLY orforglipron) turns 'oral convenience' from a differentiator into table stakes and drives price/patient down. Net: the TAM can hit $100bn and the #3–#7 players still earn mediocre risk-adjusted returns. Every model here should assume share, not the whole market.</t>
        </is>
      </c>
    </row>
  </sheetData>
  <mergeCells count="3">
    <mergeCell ref="A24:G24"/>
    <mergeCell ref="A11:G11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3" max="13"/>
  </cols>
  <sheetData>
    <row r="1" ht="24" customHeight="1">
      <c r="A1" s="1" t="inlineStr">
        <is>
          <t>AMGN — FCFF 10-yr DCF (base business + risk-adj. MariTide)</t>
        </is>
      </c>
    </row>
    <row r="3">
      <c r="A3" s="2" t="inlineStr">
        <is>
          <t>Key assumptions (yellow = input)</t>
        </is>
      </c>
    </row>
    <row r="4">
      <c r="A4" t="inlineStr">
        <is>
          <t>Base business ex-Prolia/Xgeva, 2025 ($M)</t>
        </is>
      </c>
      <c r="B4" s="13" t="n">
        <v>30800</v>
      </c>
      <c r="D4" s="4" t="inlineStr">
        <is>
          <t>FY25 rev $36.8bn less ~$6.0bn Prolia+Xgeva</t>
        </is>
      </c>
    </row>
    <row r="5">
      <c r="A5" t="inlineStr">
        <is>
          <t>Prolia+Xgeva 2025 revenue ($M)</t>
        </is>
      </c>
      <c r="B5" s="13" t="n">
        <v>6000</v>
      </c>
      <c r="D5" s="4" t="inlineStr">
        <is>
          <t>Approx; US LOE Feb-25, biosims launched mid-25</t>
        </is>
      </c>
    </row>
    <row r="6">
      <c r="A6" t="inlineStr">
        <is>
          <t>Base business growth (yr1, fades)</t>
        </is>
      </c>
      <c r="B6" s="18" t="n">
        <v>0.045</v>
      </c>
      <c r="D6" s="4" t="inlineStr">
        <is>
          <t>Repatha/Eylea-biosim/Eng/onc; fades to ~2%</t>
        </is>
      </c>
    </row>
    <row r="7">
      <c r="A7" t="inlineStr">
        <is>
          <t>Base business growth (yr10)</t>
        </is>
      </c>
      <c r="B7" s="18" t="n">
        <v>0.02</v>
      </c>
      <c r="D7" s="4" t="inlineStr">
        <is>
          <t>Mature</t>
        </is>
      </c>
    </row>
    <row r="8">
      <c r="A8" t="inlineStr">
        <is>
          <t>Prolia+Xgeva erosion / yr</t>
        </is>
      </c>
      <c r="B8" s="18" t="n">
        <v>-0.22</v>
      </c>
      <c r="D8" s="4" t="inlineStr">
        <is>
          <t>Biosimilar erosion, US + ex-US</t>
        </is>
      </c>
    </row>
    <row r="9">
      <c r="A9" t="inlineStr">
        <is>
          <t>MariTide UNADJUSTED peak sales ($M)</t>
        </is>
      </c>
      <c r="B9" s="13" t="n">
        <v>5000</v>
      </c>
      <c r="D9" s="4" t="inlineStr">
        <is>
          <t>Adversarial: share of ~$100bn TAM, monthly niche</t>
        </is>
      </c>
    </row>
    <row r="10">
      <c r="A10" t="inlineStr">
        <is>
          <t>MariTide Probability of Success</t>
        </is>
      </c>
      <c r="B10" s="18" t="n">
        <v>0.6</v>
      </c>
      <c r="D10" s="4" t="inlineStr">
        <is>
          <t>P3 asset, P2 data in hand; 60% (low end of 60-70%) for GI tol#</t>
        </is>
      </c>
    </row>
    <row r="11">
      <c r="A11" t="inlineStr">
        <is>
          <t>MariTide launch year</t>
        </is>
      </c>
      <c r="B11" s="19" t="n">
        <v>2030</v>
      </c>
      <c r="D11" s="4" t="inlineStr">
        <is>
          <t>P3 MARITIME 72-wk; data ~27-28, launch ~30</t>
        </is>
      </c>
    </row>
    <row r="12">
      <c r="A12" t="inlineStr">
        <is>
          <t>GAAP EBIT margin 2025</t>
        </is>
      </c>
      <c r="B12" s="18" t="n">
        <v>0.247</v>
      </c>
      <c r="D12" s="4" t="inlineStr">
        <is>
          <t>9,080/36,766 (GAAP; depressed by amortization)</t>
        </is>
      </c>
    </row>
    <row r="13">
      <c r="A13" t="inlineStr">
        <is>
          <t>GAAP EBIT margin 2035</t>
        </is>
      </c>
      <c r="B13" s="18" t="n">
        <v>0.3</v>
      </c>
      <c r="D13" s="4" t="inlineStr">
        <is>
          <t>Expands as Horizon intangible amort rolls off</t>
        </is>
      </c>
    </row>
    <row r="14">
      <c r="A14" t="inlineStr">
        <is>
          <t>D&amp;A 2025 ($M)</t>
        </is>
      </c>
      <c r="B14" s="13" t="n">
        <v>5500</v>
      </c>
      <c r="D14" s="4" t="inlineStr">
        <is>
          <t>Est. from 10-Q quarterly (amort ~4.6bn + deprec ~0.9bn)</t>
        </is>
      </c>
    </row>
    <row r="15">
      <c r="A15" t="inlineStr">
        <is>
          <t>D&amp;A decline / yr</t>
        </is>
      </c>
      <c r="B15" s="18" t="n">
        <v>-0.04</v>
      </c>
      <c r="D15" s="4" t="inlineStr">
        <is>
          <t>Intangible amortization runs off</t>
        </is>
      </c>
    </row>
    <row r="16">
      <c r="A16" t="inlineStr">
        <is>
          <t>Capex 2025 ($M)</t>
        </is>
      </c>
      <c r="B16" s="13" t="n">
        <v>1900</v>
      </c>
      <c r="D16" s="4" t="inlineStr">
        <is>
          <t>AMGN FY25 10-K</t>
        </is>
      </c>
    </row>
    <row r="17">
      <c r="A17" t="inlineStr">
        <is>
          <t>Capex growth / yr</t>
        </is>
      </c>
      <c r="B17" s="18" t="n">
        <v>0.04</v>
      </c>
      <c r="D17" s="4" t="inlineStr">
        <is>
          <t>Manufacturing expansion</t>
        </is>
      </c>
    </row>
    <row r="18">
      <c r="A18" t="inlineStr">
        <is>
          <t>Delta-NWC as % of rev change</t>
        </is>
      </c>
      <c r="B18" s="18" t="n">
        <v>0.02</v>
      </c>
      <c r="D18" s="4" t="inlineStr">
        <is>
          <t>Working-capital drag on growth</t>
        </is>
      </c>
    </row>
    <row r="19">
      <c r="A19" t="inlineStr">
        <is>
          <t>Tax rate</t>
        </is>
      </c>
      <c r="B19" s="18" t="n">
        <v>0.15</v>
      </c>
      <c r="D19" s="4" t="inlineStr">
        <is>
          <t>~effective 14.1% trending up</t>
        </is>
      </c>
    </row>
    <row r="20">
      <c r="A20" t="inlineStr">
        <is>
          <t>Terminal growth (Gordon)</t>
        </is>
      </c>
      <c r="B20" s="18" t="n">
        <v>0.0225</v>
      </c>
      <c r="D20" s="4" t="inlineStr">
        <is>
          <t>2.0-2.5% band; 2.25% used</t>
        </is>
      </c>
    </row>
    <row r="21">
      <c r="A21" t="inlineStr">
        <is>
          <t>Exit EV/EBITDA (x)</t>
        </is>
      </c>
      <c r="B21" s="20" t="n">
        <v>11</v>
      </c>
      <c r="D21" s="4" t="inlineStr">
        <is>
          <t>Lg-cap biopharma exit multiple</t>
        </is>
      </c>
    </row>
    <row r="23">
      <c r="A23" s="21" t="inlineStr">
        <is>
          <t>FCFF PROJECTION ($M)</t>
        </is>
      </c>
    </row>
    <row r="24">
      <c r="A24" s="3" t="inlineStr">
        <is>
          <t>Line \ Year</t>
        </is>
      </c>
      <c r="B24" s="3" t="n">
        <v>2026</v>
      </c>
      <c r="C24" s="3" t="n">
        <v>2027</v>
      </c>
      <c r="D24" s="3" t="n">
        <v>2028</v>
      </c>
      <c r="E24" s="3" t="n">
        <v>2029</v>
      </c>
      <c r="F24" s="3" t="n">
        <v>2030</v>
      </c>
      <c r="G24" s="3" t="n">
        <v>2031</v>
      </c>
      <c r="H24" s="3" t="n">
        <v>2032</v>
      </c>
      <c r="I24" s="3" t="n">
        <v>2033</v>
      </c>
      <c r="J24" s="3" t="n">
        <v>2034</v>
      </c>
      <c r="K24" s="3" t="n">
        <v>2035</v>
      </c>
    </row>
    <row r="25">
      <c r="A25" t="inlineStr">
        <is>
          <t>Base business ex-P/X</t>
        </is>
      </c>
      <c r="B25" s="22">
        <f>B4*(1+B6)</f>
        <v/>
      </c>
      <c r="C25" s="22">
        <f>B25*(1+(B6+(B7-B6)*0.1111))</f>
        <v/>
      </c>
      <c r="D25" s="22">
        <f>C25*(1+(B6+(B7-B6)*0.2222))</f>
        <v/>
      </c>
      <c r="E25" s="22">
        <f>D25*(1+(B6+(B7-B6)*0.3333))</f>
        <v/>
      </c>
      <c r="F25" s="22">
        <f>E25*(1+(B6+(B7-B6)*0.4444))</f>
        <v/>
      </c>
      <c r="G25" s="22">
        <f>F25*(1+(B6+(B7-B6)*0.5556))</f>
        <v/>
      </c>
      <c r="H25" s="22">
        <f>G25*(1+(B6+(B7-B6)*0.6667))</f>
        <v/>
      </c>
      <c r="I25" s="22">
        <f>H25*(1+(B6+(B7-B6)*0.7778))</f>
        <v/>
      </c>
      <c r="J25" s="22">
        <f>I25*(1+(B6+(B7-B6)*0.8889))</f>
        <v/>
      </c>
      <c r="K25" s="22">
        <f>J25*(1+(B6+(B7-B6)*1.0000))</f>
        <v/>
      </c>
    </row>
    <row r="26">
      <c r="A26" t="inlineStr">
        <is>
          <t>Prolia + Xgeva (eroding)</t>
        </is>
      </c>
      <c r="B26" s="22">
        <f>B5*(1+B8)</f>
        <v/>
      </c>
      <c r="C26" s="22">
        <f>B26*(1+B8)</f>
        <v/>
      </c>
      <c r="D26" s="22">
        <f>C26*(1+B8)</f>
        <v/>
      </c>
      <c r="E26" s="22">
        <f>D26*(1+B8)</f>
        <v/>
      </c>
      <c r="F26" s="22">
        <f>E26*(1+B8)</f>
        <v/>
      </c>
      <c r="G26" s="22">
        <f>F26*(1+B8)</f>
        <v/>
      </c>
      <c r="H26" s="22">
        <f>G26*(1+B8)</f>
        <v/>
      </c>
      <c r="I26" s="22">
        <f>H26*(1+B8)</f>
        <v/>
      </c>
      <c r="J26" s="22">
        <f>I26*(1+B8)</f>
        <v/>
      </c>
      <c r="K26" s="22">
        <f>J26*(1+B8)</f>
        <v/>
      </c>
    </row>
    <row r="27">
      <c r="A27" t="inlineStr">
        <is>
          <t>MariTide (unadjusted)</t>
        </is>
      </c>
      <c r="B27" s="22">
        <f>IF(2026&lt;B11,0,MIN(B9,B9*(2026-B11+1)/6))</f>
        <v/>
      </c>
      <c r="C27" s="22">
        <f>IF(2027&lt;B11,0,MIN(B9,B9*(2027-B11+1)/6))</f>
        <v/>
      </c>
      <c r="D27" s="22">
        <f>IF(2028&lt;B11,0,MIN(B9,B9*(2028-B11+1)/6))</f>
        <v/>
      </c>
      <c r="E27" s="22">
        <f>IF(2029&lt;B11,0,MIN(B9,B9*(2029-B11+1)/6))</f>
        <v/>
      </c>
      <c r="F27" s="22">
        <f>IF(2030&lt;B11,0,MIN(B9,B9*(2030-B11+1)/6))</f>
        <v/>
      </c>
      <c r="G27" s="22">
        <f>IF(2031&lt;B11,0,MIN(B9,B9*(2031-B11+1)/6))</f>
        <v/>
      </c>
      <c r="H27" s="22">
        <f>IF(2032&lt;B11,0,MIN(B9,B9*(2032-B11+1)/6))</f>
        <v/>
      </c>
      <c r="I27" s="22">
        <f>IF(2033&lt;B11,0,MIN(B9,B9*(2033-B11+1)/6))</f>
        <v/>
      </c>
      <c r="J27" s="22">
        <f>IF(2034&lt;B11,0,MIN(B9,B9*(2034-B11+1)/6))</f>
        <v/>
      </c>
      <c r="K27" s="22">
        <f>IF(2035&lt;B11,0,MIN(B9,B9*(2035-B11+1)/6))</f>
        <v/>
      </c>
    </row>
    <row r="28">
      <c r="A28" t="inlineStr">
        <is>
          <t>MariTide (x PoS)</t>
        </is>
      </c>
      <c r="B28" s="22">
        <f>B27*B10</f>
        <v/>
      </c>
      <c r="C28" s="22">
        <f>C27*B10</f>
        <v/>
      </c>
      <c r="D28" s="22">
        <f>D27*B10</f>
        <v/>
      </c>
      <c r="E28" s="22">
        <f>E27*B10</f>
        <v/>
      </c>
      <c r="F28" s="22">
        <f>F27*B10</f>
        <v/>
      </c>
      <c r="G28" s="22">
        <f>G27*B10</f>
        <v/>
      </c>
      <c r="H28" s="22">
        <f>H27*B10</f>
        <v/>
      </c>
      <c r="I28" s="22">
        <f>I27*B10</f>
        <v/>
      </c>
      <c r="J28" s="22">
        <f>J27*B10</f>
        <v/>
      </c>
      <c r="K28" s="22">
        <f>K27*B10</f>
        <v/>
      </c>
    </row>
    <row r="29">
      <c r="A29" s="11" t="inlineStr">
        <is>
          <t>Total revenue</t>
        </is>
      </c>
      <c r="B29" s="15">
        <f>B25+B26+B28</f>
        <v/>
      </c>
      <c r="C29" s="15">
        <f>C25+C26+C28</f>
        <v/>
      </c>
      <c r="D29" s="15">
        <f>D25+D26+D28</f>
        <v/>
      </c>
      <c r="E29" s="15">
        <f>E25+E26+E28</f>
        <v/>
      </c>
      <c r="F29" s="15">
        <f>F25+F26+F28</f>
        <v/>
      </c>
      <c r="G29" s="15">
        <f>G25+G26+G28</f>
        <v/>
      </c>
      <c r="H29" s="15">
        <f>H25+H26+H28</f>
        <v/>
      </c>
      <c r="I29" s="15">
        <f>I25+I26+I28</f>
        <v/>
      </c>
      <c r="J29" s="15">
        <f>J25+J26+J28</f>
        <v/>
      </c>
      <c r="K29" s="15">
        <f>K25+K26+K28</f>
        <v/>
      </c>
    </row>
    <row r="30">
      <c r="A30" t="inlineStr">
        <is>
          <t>EBIT margin</t>
        </is>
      </c>
      <c r="B30" s="23">
        <f>B12+(B13-B12)*0.0000</f>
        <v/>
      </c>
      <c r="C30" s="23">
        <f>B12+(B13-B12)*0.1111</f>
        <v/>
      </c>
      <c r="D30" s="23">
        <f>B12+(B13-B12)*0.2222</f>
        <v/>
      </c>
      <c r="E30" s="23">
        <f>B12+(B13-B12)*0.3333</f>
        <v/>
      </c>
      <c r="F30" s="23">
        <f>B12+(B13-B12)*0.4444</f>
        <v/>
      </c>
      <c r="G30" s="23">
        <f>B12+(B13-B12)*0.5556</f>
        <v/>
      </c>
      <c r="H30" s="23">
        <f>B12+(B13-B12)*0.6667</f>
        <v/>
      </c>
      <c r="I30" s="23">
        <f>B12+(B13-B12)*0.7778</f>
        <v/>
      </c>
      <c r="J30" s="23">
        <f>B12+(B13-B12)*0.8889</f>
        <v/>
      </c>
      <c r="K30" s="23">
        <f>B12+(B13-B12)*1.0000</f>
        <v/>
      </c>
    </row>
    <row r="31">
      <c r="A31" t="inlineStr">
        <is>
          <t>EBIT</t>
        </is>
      </c>
      <c r="B31" s="22">
        <f>B29*B30</f>
        <v/>
      </c>
      <c r="C31" s="22">
        <f>C29*C30</f>
        <v/>
      </c>
      <c r="D31" s="22">
        <f>D29*D30</f>
        <v/>
      </c>
      <c r="E31" s="22">
        <f>E29*E30</f>
        <v/>
      </c>
      <c r="F31" s="22">
        <f>F29*F30</f>
        <v/>
      </c>
      <c r="G31" s="22">
        <f>G29*G30</f>
        <v/>
      </c>
      <c r="H31" s="22">
        <f>H29*H30</f>
        <v/>
      </c>
      <c r="I31" s="22">
        <f>I29*I30</f>
        <v/>
      </c>
      <c r="J31" s="22">
        <f>J29*J30</f>
        <v/>
      </c>
      <c r="K31" s="22">
        <f>K29*K30</f>
        <v/>
      </c>
    </row>
    <row r="32">
      <c r="A32" t="inlineStr">
        <is>
          <t>NOPAT = EBIT*(1-t)</t>
        </is>
      </c>
      <c r="B32" s="22">
        <f>B31*(1-B19)</f>
        <v/>
      </c>
      <c r="C32" s="22">
        <f>C31*(1-B19)</f>
        <v/>
      </c>
      <c r="D32" s="22">
        <f>D31*(1-B19)</f>
        <v/>
      </c>
      <c r="E32" s="22">
        <f>E31*(1-B19)</f>
        <v/>
      </c>
      <c r="F32" s="22">
        <f>F31*(1-B19)</f>
        <v/>
      </c>
      <c r="G32" s="22">
        <f>G31*(1-B19)</f>
        <v/>
      </c>
      <c r="H32" s="22">
        <f>H31*(1-B19)</f>
        <v/>
      </c>
      <c r="I32" s="22">
        <f>I31*(1-B19)</f>
        <v/>
      </c>
      <c r="J32" s="22">
        <f>J31*(1-B19)</f>
        <v/>
      </c>
      <c r="K32" s="22">
        <f>K31*(1-B19)</f>
        <v/>
      </c>
    </row>
    <row r="33">
      <c r="A33" t="inlineStr">
        <is>
          <t>+ D&amp;A</t>
        </is>
      </c>
      <c r="B33" s="22">
        <f>B14*(1+B15)^1</f>
        <v/>
      </c>
      <c r="C33" s="22">
        <f>B14*(1+B15)^2</f>
        <v/>
      </c>
      <c r="D33" s="22">
        <f>B14*(1+B15)^3</f>
        <v/>
      </c>
      <c r="E33" s="22">
        <f>B14*(1+B15)^4</f>
        <v/>
      </c>
      <c r="F33" s="22">
        <f>B14*(1+B15)^5</f>
        <v/>
      </c>
      <c r="G33" s="22">
        <f>B14*(1+B15)^6</f>
        <v/>
      </c>
      <c r="H33" s="22">
        <f>B14*(1+B15)^7</f>
        <v/>
      </c>
      <c r="I33" s="22">
        <f>B14*(1+B15)^8</f>
        <v/>
      </c>
      <c r="J33" s="22">
        <f>B14*(1+B15)^9</f>
        <v/>
      </c>
      <c r="K33" s="22">
        <f>B14*(1+B15)^10</f>
        <v/>
      </c>
    </row>
    <row r="34">
      <c r="A34" t="inlineStr">
        <is>
          <t>- Capex</t>
        </is>
      </c>
      <c r="B34" s="22">
        <f>B16*(1+B17)^1</f>
        <v/>
      </c>
      <c r="C34" s="22">
        <f>B16*(1+B17)^2</f>
        <v/>
      </c>
      <c r="D34" s="22">
        <f>B16*(1+B17)^3</f>
        <v/>
      </c>
      <c r="E34" s="22">
        <f>B16*(1+B17)^4</f>
        <v/>
      </c>
      <c r="F34" s="22">
        <f>B16*(1+B17)^5</f>
        <v/>
      </c>
      <c r="G34" s="22">
        <f>B16*(1+B17)^6</f>
        <v/>
      </c>
      <c r="H34" s="22">
        <f>B16*(1+B17)^7</f>
        <v/>
      </c>
      <c r="I34" s="22">
        <f>B16*(1+B17)^8</f>
        <v/>
      </c>
      <c r="J34" s="22">
        <f>B16*(1+B17)^9</f>
        <v/>
      </c>
      <c r="K34" s="22">
        <f>B16*(1+B17)^10</f>
        <v/>
      </c>
    </row>
    <row r="35">
      <c r="A35" t="inlineStr">
        <is>
          <t>- Delta NWC</t>
        </is>
      </c>
      <c r="B35" s="22">
        <f>(B29-(B4+B5))*B18</f>
        <v/>
      </c>
      <c r="C35" s="22">
        <f>(C29-B29)*B18</f>
        <v/>
      </c>
      <c r="D35" s="22">
        <f>(D29-C29)*B18</f>
        <v/>
      </c>
      <c r="E35" s="22">
        <f>(E29-D29)*B18</f>
        <v/>
      </c>
      <c r="F35" s="22">
        <f>(F29-E29)*B18</f>
        <v/>
      </c>
      <c r="G35" s="22">
        <f>(G29-F29)*B18</f>
        <v/>
      </c>
      <c r="H35" s="22">
        <f>(H29-G29)*B18</f>
        <v/>
      </c>
      <c r="I35" s="22">
        <f>(I29-H29)*B18</f>
        <v/>
      </c>
      <c r="J35" s="22">
        <f>(J29-I29)*B18</f>
        <v/>
      </c>
      <c r="K35" s="22">
        <f>(K29-J29)*B18</f>
        <v/>
      </c>
    </row>
    <row r="36">
      <c r="A36" s="11" t="inlineStr">
        <is>
          <t>FCFF</t>
        </is>
      </c>
      <c r="B36" s="15">
        <f>B32+B33-B34-B35</f>
        <v/>
      </c>
      <c r="C36" s="15">
        <f>C32+C33-C34-C35</f>
        <v/>
      </c>
      <c r="D36" s="15">
        <f>D32+D33-D34-D35</f>
        <v/>
      </c>
      <c r="E36" s="15">
        <f>E32+E33-E34-E35</f>
        <v/>
      </c>
      <c r="F36" s="15">
        <f>F32+F33-F34-F35</f>
        <v/>
      </c>
      <c r="G36" s="15">
        <f>G32+G33-G34-G35</f>
        <v/>
      </c>
      <c r="H36" s="15">
        <f>H32+H33-H34-H35</f>
        <v/>
      </c>
      <c r="I36" s="15">
        <f>I32+I33-I34-I35</f>
        <v/>
      </c>
      <c r="J36" s="15">
        <f>J32+J33-J34-J35</f>
        <v/>
      </c>
      <c r="K36" s="15">
        <f>K32+K33-K34-K35</f>
        <v/>
      </c>
    </row>
    <row r="37">
      <c r="A37" t="inlineStr">
        <is>
          <t>Discount factor</t>
        </is>
      </c>
      <c r="B37" s="24">
        <f>1/(1+AMGN_WACC!B24)^1</f>
        <v/>
      </c>
      <c r="C37" s="24">
        <f>1/(1+AMGN_WACC!B24)^2</f>
        <v/>
      </c>
      <c r="D37" s="24">
        <f>1/(1+AMGN_WACC!B24)^3</f>
        <v/>
      </c>
      <c r="E37" s="24">
        <f>1/(1+AMGN_WACC!B24)^4</f>
        <v/>
      </c>
      <c r="F37" s="24">
        <f>1/(1+AMGN_WACC!B24)^5</f>
        <v/>
      </c>
      <c r="G37" s="24">
        <f>1/(1+AMGN_WACC!B24)^6</f>
        <v/>
      </c>
      <c r="H37" s="24">
        <f>1/(1+AMGN_WACC!B24)^7</f>
        <v/>
      </c>
      <c r="I37" s="24">
        <f>1/(1+AMGN_WACC!B24)^8</f>
        <v/>
      </c>
      <c r="J37" s="24">
        <f>1/(1+AMGN_WACC!B24)^9</f>
        <v/>
      </c>
      <c r="K37" s="24">
        <f>1/(1+AMGN_WACC!B24)^10</f>
        <v/>
      </c>
    </row>
    <row r="38">
      <c r="A38" s="11" t="inlineStr">
        <is>
          <t>PV of FCFF</t>
        </is>
      </c>
      <c r="B38" s="15">
        <f>B36*B37</f>
        <v/>
      </c>
      <c r="C38" s="15">
        <f>C36*C37</f>
        <v/>
      </c>
      <c r="D38" s="15">
        <f>D36*D37</f>
        <v/>
      </c>
      <c r="E38" s="15">
        <f>E36*E37</f>
        <v/>
      </c>
      <c r="F38" s="15">
        <f>F36*F37</f>
        <v/>
      </c>
      <c r="G38" s="15">
        <f>G36*G37</f>
        <v/>
      </c>
      <c r="H38" s="15">
        <f>H36*H37</f>
        <v/>
      </c>
      <c r="I38" s="15">
        <f>I36*I37</f>
        <v/>
      </c>
      <c r="J38" s="15">
        <f>J36*J37</f>
        <v/>
      </c>
      <c r="K38" s="15">
        <f>K36*K37</f>
        <v/>
      </c>
    </row>
    <row r="40">
      <c r="A40" s="21" t="inlineStr">
        <is>
          <t>VALUATION BRIDGE</t>
        </is>
      </c>
    </row>
    <row r="41">
      <c r="A41" t="inlineStr">
        <is>
          <t>Sum PV of explicit FCFF (2026-35)</t>
        </is>
      </c>
      <c r="B41" s="15">
        <f>SUM(B38:K38)</f>
        <v/>
      </c>
    </row>
    <row r="42">
      <c r="A42" t="inlineStr">
        <is>
          <t>Terminal value (Gordon g)</t>
        </is>
      </c>
      <c r="B42" s="15">
        <f>K36*(1+B20)/(AMGN_WACC!B24-B20)</f>
        <v/>
      </c>
    </row>
    <row r="43">
      <c r="A43" t="inlineStr">
        <is>
          <t>PV of terminal (Gordon)</t>
        </is>
      </c>
      <c r="B43" s="15">
        <f>B42*K37</f>
        <v/>
      </c>
    </row>
    <row r="44">
      <c r="A44" s="11" t="inlineStr">
        <is>
          <t>Enterprise value (Gordon)</t>
        </is>
      </c>
      <c r="B44" s="25">
        <f>B41+B43</f>
        <v/>
      </c>
    </row>
    <row r="45">
      <c r="A45" t="inlineStr">
        <is>
          <t>2035 EBITDA (EBIT+D&amp;A)</t>
        </is>
      </c>
      <c r="B45" s="15">
        <f>K31+K33</f>
        <v/>
      </c>
    </row>
    <row r="46">
      <c r="A46" t="inlineStr">
        <is>
          <t>Terminal value (exit EV/EBITDA)</t>
        </is>
      </c>
      <c r="B46" s="15">
        <f>B45*B21</f>
        <v/>
      </c>
    </row>
    <row r="47">
      <c r="A47" t="inlineStr">
        <is>
          <t>PV of terminal (exit mult)</t>
        </is>
      </c>
      <c r="B47" s="15">
        <f>B46*K37</f>
        <v/>
      </c>
    </row>
    <row r="48">
      <c r="A48" s="11" t="inlineStr">
        <is>
          <t>Enterprise value (exit mult)</t>
        </is>
      </c>
      <c r="B48" s="25">
        <f>B41+B47</f>
        <v/>
      </c>
    </row>
    <row r="50">
      <c r="A50" t="inlineStr">
        <is>
          <t>Less: net debt (54.6-9.1bn = $45.5bn)</t>
        </is>
      </c>
      <c r="B50" s="13" t="n">
        <v>45500</v>
      </c>
    </row>
    <row r="51">
      <c r="A51" t="inlineStr">
        <is>
          <t>Shares outstanding (M)</t>
        </is>
      </c>
      <c r="B51" s="13" t="n">
        <v>539</v>
      </c>
    </row>
    <row r="52">
      <c r="A52" t="inlineStr">
        <is>
          <t>Current price ($)</t>
        </is>
      </c>
      <c r="B52" s="26" t="n">
        <v>339</v>
      </c>
    </row>
    <row r="54">
      <c r="A54" s="11" t="inlineStr">
        <is>
          <t>Equity value (Gordon) $M</t>
        </is>
      </c>
      <c r="B54" s="15">
        <f>B44-B50</f>
        <v/>
      </c>
    </row>
    <row r="55">
      <c r="A55" s="11" t="inlineStr">
        <is>
          <t>Implied share price (Gordon)</t>
        </is>
      </c>
      <c r="B55" s="27">
        <f>B54/B51</f>
        <v/>
      </c>
    </row>
    <row r="56">
      <c r="A56" s="11" t="inlineStr">
        <is>
          <t>Equity value (exit mult) $M</t>
        </is>
      </c>
      <c r="B56" s="15">
        <f>B48-B50</f>
        <v/>
      </c>
    </row>
    <row r="57">
      <c r="A57" s="11" t="inlineStr">
        <is>
          <t>Implied share price (exit mult)</t>
        </is>
      </c>
      <c r="B57" s="27">
        <f>B56/B51</f>
        <v/>
      </c>
    </row>
    <row r="58">
      <c r="A58" s="11" t="inlineStr">
        <is>
          <t>Blended fair value (avg of two)</t>
        </is>
      </c>
      <c r="B58" s="28">
        <f>AVERAGE(B55,B57)</f>
        <v/>
      </c>
    </row>
    <row r="59">
      <c r="A59" s="11" t="inlineStr">
        <is>
          <t>Upside / (downside) vs current</t>
        </is>
      </c>
      <c r="B59" s="29">
        <f>B58/B52-1</f>
        <v/>
      </c>
    </row>
  </sheetData>
  <mergeCells count="2">
    <mergeCell ref="D3:M3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AMGN — WACC (all inputs shown, no black boxes)</t>
        </is>
      </c>
    </row>
    <row r="3">
      <c r="A3" s="3" t="inlineStr">
        <is>
          <t>Cost of Equity — CAPM</t>
        </is>
      </c>
      <c r="B3" s="3" t="inlineStr">
        <is>
          <t>Value</t>
        </is>
      </c>
      <c r="C3" s="3" t="inlineStr">
        <is>
          <t>Note</t>
        </is>
      </c>
    </row>
    <row r="4" ht="26" customHeight="1">
      <c r="A4" t="inlineStr">
        <is>
          <t>Risk-free rate (10Y UST, 1-Jul-2026)</t>
        </is>
      </c>
      <c r="B4" s="9" t="n">
        <v>0.0446</v>
      </c>
      <c r="C4" s="4" t="inlineStr">
        <is>
          <t>TradingEconomics/Treasury, 4.46%</t>
        </is>
      </c>
    </row>
    <row r="5" ht="26" customHeight="1">
      <c r="A5" t="inlineStr">
        <is>
          <t>Beta — Yahoo 5Y monthly (reported)</t>
        </is>
      </c>
      <c r="B5" s="10" t="n">
        <v>0.46</v>
      </c>
      <c r="C5" s="4" t="inlineStr">
        <is>
          <t>Yahoo Finance key stats; looks low for a lg-cap biopharma</t>
        </is>
      </c>
    </row>
    <row r="6" ht="26" customHeight="1">
      <c r="A6" t="inlineStr">
        <is>
          <t>Beta — used (industry-adjusted)</t>
        </is>
      </c>
      <c r="B6" s="10" t="n">
        <v>0.7</v>
      </c>
      <c r="C6" s="4" t="inlineStr">
        <is>
          <t>Lg-cap biopharma peer beta ~0.6-0.8; 0.46 rejected as too low</t>
        </is>
      </c>
    </row>
    <row r="7" ht="26" customHeight="1">
      <c r="A7" t="inlineStr">
        <is>
          <t>Equity risk premium (used)</t>
        </is>
      </c>
      <c r="B7" s="9" t="n">
        <v>0.05</v>
      </c>
      <c r="C7" s="4" t="inlineStr">
        <is>
          <t>Damodaran implied 4.23% (Jan-26); 5.0% used = conservative</t>
        </is>
      </c>
    </row>
    <row r="8">
      <c r="A8" s="11" t="inlineStr">
        <is>
          <t>Cost of equity = Rf + beta*ERP</t>
        </is>
      </c>
      <c r="B8" s="12">
        <f>B4+B6*B7</f>
        <v/>
      </c>
    </row>
    <row r="10">
      <c r="A10" s="3" t="inlineStr">
        <is>
          <t>Cost of Debt</t>
        </is>
      </c>
      <c r="B10" s="3" t="inlineStr">
        <is>
          <t>Value</t>
        </is>
      </c>
      <c r="C10" s="3" t="inlineStr">
        <is>
          <t>Note</t>
        </is>
      </c>
    </row>
    <row r="11" ht="26" customHeight="1">
      <c r="A11" t="inlineStr">
        <is>
          <t>Net interest expense FY25 ($M)</t>
        </is>
      </c>
      <c r="B11" s="13" t="n">
        <v>2755</v>
      </c>
      <c r="C11" s="4" t="inlineStr">
        <is>
          <t>AMGN FY25 10-K</t>
        </is>
      </c>
    </row>
    <row r="12" ht="26" customHeight="1">
      <c r="A12" t="inlineStr">
        <is>
          <t>Avg total debt ($M)  [(60.1bn+54.6bn)/2]</t>
        </is>
      </c>
      <c r="B12" s="13" t="n">
        <v>57350</v>
      </c>
      <c r="C12" s="4" t="inlineStr">
        <is>
          <t>FY24 $60.1bn, FY25 $54.6bn</t>
        </is>
      </c>
    </row>
    <row r="13">
      <c r="A13" s="11" t="inlineStr">
        <is>
          <t>Pre-tax cost of debt = IntExp/AvgDebt</t>
        </is>
      </c>
      <c r="B13" s="14">
        <f>B11/B12</f>
        <v/>
      </c>
      <c r="C13" s="4" t="inlineStr">
        <is>
          <t>Cross-check: recent AMGN bond yields ~5.0-5.4%</t>
        </is>
      </c>
    </row>
    <row r="14" ht="26" customHeight="1">
      <c r="A14" t="inlineStr">
        <is>
          <t>Marginal tax rate</t>
        </is>
      </c>
      <c r="B14" s="9" t="n">
        <v>0.21</v>
      </c>
      <c r="C14" s="4" t="inlineStr">
        <is>
          <t>US fed+state marginal (effective 14.1% is lower)</t>
        </is>
      </c>
    </row>
    <row r="15">
      <c r="A15" s="11" t="inlineStr">
        <is>
          <t>After-tax cost of debt</t>
        </is>
      </c>
      <c r="B15" s="12">
        <f>B13*(1-B14)</f>
        <v/>
      </c>
    </row>
    <row r="17">
      <c r="A17" s="3" t="inlineStr">
        <is>
          <t>Capital weights (MARKET value)</t>
        </is>
      </c>
      <c r="B17" s="3" t="inlineStr">
        <is>
          <t>$M</t>
        </is>
      </c>
      <c r="C17" s="3" t="inlineStr">
        <is>
          <t>Note</t>
        </is>
      </c>
    </row>
    <row r="18" ht="26" customHeight="1">
      <c r="A18" t="inlineStr">
        <is>
          <t>Market cap (equity)  539.07M sh x ~$339</t>
        </is>
      </c>
      <c r="B18" s="13" t="n">
        <v>182700</v>
      </c>
      <c r="C18" s="4" t="inlineStr">
        <is>
          <t>companiesmarketcap Jun-26; mkt cap $182.5bn</t>
        </is>
      </c>
    </row>
    <row r="19" ht="26" customHeight="1">
      <c r="A19" t="inlineStr">
        <is>
          <t>Total debt (FY25)</t>
        </is>
      </c>
      <c r="B19" s="13" t="n">
        <v>54600</v>
      </c>
      <c r="C19" s="4" t="inlineStr">
        <is>
          <t>AMGN FY25 10-K, $54.6bn</t>
        </is>
      </c>
    </row>
    <row r="20">
      <c r="A20" s="11" t="inlineStr">
        <is>
          <t>Total capital</t>
        </is>
      </c>
      <c r="B20" s="15">
        <f>B18+B19</f>
        <v/>
      </c>
    </row>
    <row r="21">
      <c r="A21" t="inlineStr">
        <is>
          <t>Weight equity</t>
        </is>
      </c>
      <c r="B21" s="16">
        <f>B18/B20</f>
        <v/>
      </c>
    </row>
    <row r="22">
      <c r="A22" t="inlineStr">
        <is>
          <t>Weight debt</t>
        </is>
      </c>
      <c r="B22" s="16">
        <f>B19/B20</f>
        <v/>
      </c>
    </row>
    <row r="24">
      <c r="A24" s="11" t="inlineStr">
        <is>
          <t>WACC = We*Ke + Wd*Kd(1-t)</t>
        </is>
      </c>
      <c r="B24" s="17">
        <f>B21*B8+B22*B15</f>
        <v/>
      </c>
    </row>
    <row r="26" ht="40" customHeight="1">
      <c r="A26" s="5" t="inlineStr">
        <is>
          <t>Note: a low-beta megacap mechanically yields a low WACC (~7%). Base case uses this; Sensitivity tab stresses WACC 6.5%-8.5%. We deliberately reject the 0.46 reported beta in favour of 0.70 to avoid an artificially low discount rate.</t>
        </is>
      </c>
    </row>
  </sheetData>
  <mergeCells count="2">
    <mergeCell ref="A26:C2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32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</cols>
  <sheetData>
    <row r="1" ht="24" customHeight="1">
      <c r="A1" s="1" t="inlineStr">
        <is>
          <t>VKTX — rNPV (NOT a normal DCF): VK2735 sub-q + oral, risk-adjusted</t>
        </is>
      </c>
    </row>
    <row r="3">
      <c r="A3" s="2" t="inlineStr">
        <is>
          <t>Assumptions (yellow = input). Revenue = 0 today; value is entirely optionality.</t>
        </is>
      </c>
    </row>
    <row r="4">
      <c r="A4" t="inlineStr">
        <is>
          <t>Sub-q UNADJUSTED peak sales ($M)</t>
        </is>
      </c>
      <c r="B4" s="13" t="n">
        <v>6000</v>
      </c>
      <c r="D4" s="4" t="inlineStr">
        <is>
          <t>Adversarial base; Street bull ~$21.6bn franchise</t>
        </is>
      </c>
    </row>
    <row r="5">
      <c r="A5" t="inlineStr">
        <is>
          <t>Sub-q Probability of Success</t>
        </is>
      </c>
      <c r="B5" s="18" t="n">
        <v>0.6</v>
      </c>
      <c r="D5" s="4" t="inlineStr">
        <is>
          <t>P3 obesity, fully enrolled; 60% (band 55-65%)</t>
        </is>
      </c>
    </row>
    <row r="6">
      <c r="A6" t="inlineStr">
        <is>
          <t>Sub-q launch year</t>
        </is>
      </c>
      <c r="B6" s="19" t="n">
        <v>2028</v>
      </c>
      <c r="D6" s="4" t="inlineStr">
        <is>
          <t>VANQUISH data 26-27, filing 27, launch 28</t>
        </is>
      </c>
    </row>
    <row r="7">
      <c r="A7" t="inlineStr">
        <is>
          <t>Sub-q years to peak</t>
        </is>
      </c>
      <c r="B7" s="19" t="n">
        <v>7</v>
      </c>
      <c r="D7" s="4" t="inlineStr">
        <is>
          <t>6-8yr ramp</t>
        </is>
      </c>
    </row>
    <row r="8">
      <c r="A8" t="inlineStr">
        <is>
          <t>Oral UNADJUSTED peak sales ($M)</t>
        </is>
      </c>
      <c r="B8" s="13" t="n">
        <v>3000</v>
      </c>
      <c r="D8" s="4" t="inlineStr">
        <is>
          <t>Oral commoditizes; lower price/patient</t>
        </is>
      </c>
    </row>
    <row r="9">
      <c r="A9" t="inlineStr">
        <is>
          <t>Oral Probability of Success</t>
        </is>
      </c>
      <c r="B9" s="18" t="n">
        <v>0.4</v>
      </c>
      <c r="D9" s="4" t="inlineStr">
        <is>
          <t>Entering P3; 40% (band 35-45%)</t>
        </is>
      </c>
    </row>
    <row r="10">
      <c r="A10" t="inlineStr">
        <is>
          <t>Oral launch year</t>
        </is>
      </c>
      <c r="B10" s="19" t="n">
        <v>2031</v>
      </c>
      <c r="D10" s="4" t="inlineStr">
        <is>
          <t>P3 starts 4Q26</t>
        </is>
      </c>
    </row>
    <row r="11">
      <c r="A11" t="inlineStr">
        <is>
          <t>Oral years to peak</t>
        </is>
      </c>
      <c r="B11" s="19" t="n">
        <v>7</v>
      </c>
      <c r="D11" s="4" t="inlineStr">
        <is>
          <t>6-8yr ramp</t>
        </is>
      </c>
    </row>
    <row r="12">
      <c r="A12" t="inlineStr">
        <is>
          <t>Patent-cliff erosion start (yrs post-launch)</t>
        </is>
      </c>
      <c r="B12" s="19" t="n">
        <v>10</v>
      </c>
      <c r="D12" s="4" t="inlineStr">
        <is>
          <t>LoE ~10yr post-launch</t>
        </is>
      </c>
    </row>
    <row r="13">
      <c r="A13" t="inlineStr">
        <is>
          <t>Erosion rate / yr after cliff</t>
        </is>
      </c>
      <c r="B13" s="18" t="n">
        <v>-0.3</v>
      </c>
      <c r="D13" s="4" t="inlineStr">
        <is>
          <t>Biosimilar/generic</t>
        </is>
      </c>
    </row>
    <row r="14">
      <c r="A14" t="inlineStr">
        <is>
          <t>COGS % of sales</t>
        </is>
      </c>
      <c r="B14" s="18" t="n">
        <v>0.15</v>
      </c>
      <c r="D14" s="4" t="inlineStr">
        <is>
          <t>Peptide/oral blended</t>
        </is>
      </c>
    </row>
    <row r="15">
      <c r="A15" t="inlineStr">
        <is>
          <t>SG&amp;A % of sales (launch-heavy)</t>
        </is>
      </c>
      <c r="B15" s="18" t="n">
        <v>0.35</v>
      </c>
      <c r="D15" s="4" t="inlineStr">
        <is>
          <t>Solo commercial build</t>
        </is>
      </c>
    </row>
    <row r="16">
      <c r="A16" t="inlineStr">
        <is>
          <t>R&amp;D % of sales (post-launch)</t>
        </is>
      </c>
      <c r="B16" s="18" t="n">
        <v>0.1</v>
      </c>
      <c r="D16" s="4" t="inlineStr">
        <is>
          <t>Lifecycle</t>
        </is>
      </c>
    </row>
    <row r="17">
      <c r="A17" t="inlineStr">
        <is>
          <t>Sub-q pre-launch R&amp;D burn/yr ($M)</t>
        </is>
      </c>
      <c r="B17" s="13" t="n">
        <v>600</v>
      </c>
      <c r="D17" s="4" t="inlineStr">
        <is>
          <t>Company-level burn to sub-q approval; UNADJUSTED</t>
        </is>
      </c>
    </row>
    <row r="18">
      <c r="A18" t="inlineStr">
        <is>
          <t>Oral pre-launch R&amp;D burn/yr ($M)</t>
        </is>
      </c>
      <c r="B18" s="13" t="n">
        <v>250</v>
      </c>
      <c r="D18" s="4" t="inlineStr">
        <is>
          <t>Incremental oral P3 spend; UNADJUSTED</t>
        </is>
      </c>
    </row>
    <row r="19">
      <c r="A19" t="inlineStr">
        <is>
          <t>Tax rate (NOLs early -&gt; full later)</t>
        </is>
      </c>
      <c r="B19" s="18" t="n">
        <v>0.15</v>
      </c>
      <c r="D19" s="4" t="inlineStr">
        <is>
          <t>Large NOLs; blended</t>
        </is>
      </c>
    </row>
    <row r="20">
      <c r="A20" t="inlineStr">
        <is>
          <t>Net cash today ($M)</t>
        </is>
      </c>
      <c r="B20" s="13" t="n">
        <v>603</v>
      </c>
      <c r="D20" s="4" t="inlineStr">
        <is>
          <t>Q1-26: cash+STI $603M, no debt</t>
        </is>
      </c>
    </row>
    <row r="21">
      <c r="A21" t="inlineStr">
        <is>
          <t>Shares outstanding (M)</t>
        </is>
      </c>
      <c r="B21" s="30" t="n">
        <v>115.9</v>
      </c>
      <c r="D21" s="4" t="inlineStr">
        <is>
          <t>Mar-26</t>
        </is>
      </c>
    </row>
    <row r="22">
      <c r="A22" t="inlineStr">
        <is>
          <t>Dilution to fund (new shares M)</t>
        </is>
      </c>
      <c r="B22" s="13" t="n">
        <v>60</v>
      </c>
      <c r="D22" s="4" t="inlineStr">
        <is>
          <t>Needs ~$2bn: equity raises pre-profit</t>
        </is>
      </c>
    </row>
    <row r="24">
      <c r="A24" s="3" t="inlineStr">
        <is>
          <t>SUB-Q VK2735 ($M)</t>
        </is>
      </c>
      <c r="B24" s="3" t="n">
        <v>2026</v>
      </c>
      <c r="C24" s="3" t="n">
        <v>2027</v>
      </c>
      <c r="D24" s="3" t="n">
        <v>2028</v>
      </c>
      <c r="E24" s="3" t="n">
        <v>2029</v>
      </c>
      <c r="F24" s="3" t="n">
        <v>2030</v>
      </c>
      <c r="G24" s="3" t="n">
        <v>2031</v>
      </c>
      <c r="H24" s="3" t="n">
        <v>2032</v>
      </c>
      <c r="I24" s="3" t="n">
        <v>2033</v>
      </c>
      <c r="J24" s="3" t="n">
        <v>2034</v>
      </c>
      <c r="K24" s="3" t="n">
        <v>2035</v>
      </c>
      <c r="L24" s="3" t="n">
        <v>2036</v>
      </c>
      <c r="M24" s="3" t="n">
        <v>2037</v>
      </c>
      <c r="N24" s="3" t="n">
        <v>2038</v>
      </c>
      <c r="O24" s="3" t="n">
        <v>2039</v>
      </c>
      <c r="P24" s="3" t="n">
        <v>2040</v>
      </c>
    </row>
    <row r="25">
      <c r="A25" t="inlineStr">
        <is>
          <t>Unadj. sales</t>
        </is>
      </c>
      <c r="B25" s="22">
        <f>IF(2026&lt;B6,0,IF(2026-B6+1&lt;=B7,B4*(2026-B6+1)/B7,B4*(1+B13)^MAX(0,2026-B6+1-B12))))</f>
        <v/>
      </c>
      <c r="C25" s="22">
        <f>IF(2027&lt;B6,0,IF(2027-B6+1&lt;=B7,B4*(2027-B6+1)/B7,B4*(1+B13)^MAX(0,2027-B6+1-B12))))</f>
        <v/>
      </c>
      <c r="D25" s="22">
        <f>IF(2028&lt;B6,0,IF(2028-B6+1&lt;=B7,B4*(2028-B6+1)/B7,B4*(1+B13)^MAX(0,2028-B6+1-B12))))</f>
        <v/>
      </c>
      <c r="E25" s="22">
        <f>IF(2029&lt;B6,0,IF(2029-B6+1&lt;=B7,B4*(2029-B6+1)/B7,B4*(1+B13)^MAX(0,2029-B6+1-B12))))</f>
        <v/>
      </c>
      <c r="F25" s="22">
        <f>IF(2030&lt;B6,0,IF(2030-B6+1&lt;=B7,B4*(2030-B6+1)/B7,B4*(1+B13)^MAX(0,2030-B6+1-B12))))</f>
        <v/>
      </c>
      <c r="G25" s="22">
        <f>IF(2031&lt;B6,0,IF(2031-B6+1&lt;=B7,B4*(2031-B6+1)/B7,B4*(1+B13)^MAX(0,2031-B6+1-B12))))</f>
        <v/>
      </c>
      <c r="H25" s="22">
        <f>IF(2032&lt;B6,0,IF(2032-B6+1&lt;=B7,B4*(2032-B6+1)/B7,B4*(1+B13)^MAX(0,2032-B6+1-B12))))</f>
        <v/>
      </c>
      <c r="I25" s="22">
        <f>IF(2033&lt;B6,0,IF(2033-B6+1&lt;=B7,B4*(2033-B6+1)/B7,B4*(1+B13)^MAX(0,2033-B6+1-B12))))</f>
        <v/>
      </c>
      <c r="J25" s="22">
        <f>IF(2034&lt;B6,0,IF(2034-B6+1&lt;=B7,B4*(2034-B6+1)/B7,B4*(1+B13)^MAX(0,2034-B6+1-B12))))</f>
        <v/>
      </c>
      <c r="K25" s="22">
        <f>IF(2035&lt;B6,0,IF(2035-B6+1&lt;=B7,B4*(2035-B6+1)/B7,B4*(1+B13)^MAX(0,2035-B6+1-B12))))</f>
        <v/>
      </c>
      <c r="L25" s="22">
        <f>IF(2036&lt;B6,0,IF(2036-B6+1&lt;=B7,B4*(2036-B6+1)/B7,B4*(1+B13)^MAX(0,2036-B6+1-B12))))</f>
        <v/>
      </c>
      <c r="M25" s="22">
        <f>IF(2037&lt;B6,0,IF(2037-B6+1&lt;=B7,B4*(2037-B6+1)/B7,B4*(1+B13)^MAX(0,2037-B6+1-B12))))</f>
        <v/>
      </c>
      <c r="N25" s="22">
        <f>IF(2038&lt;B6,0,IF(2038-B6+1&lt;=B7,B4*(2038-B6+1)/B7,B4*(1+B13)^MAX(0,2038-B6+1-B12))))</f>
        <v/>
      </c>
      <c r="O25" s="22">
        <f>IF(2039&lt;B6,0,IF(2039-B6+1&lt;=B7,B4*(2039-B6+1)/B7,B4*(1+B13)^MAX(0,2039-B6+1-B12))))</f>
        <v/>
      </c>
      <c r="P25" s="22">
        <f>IF(2040&lt;B6,0,IF(2040-B6+1&lt;=B7,B4*(2040-B6+1)/B7,B4*(1+B13)^MAX(0,2040-B6+1-B12))))</f>
        <v/>
      </c>
    </row>
    <row r="26">
      <c r="A26" t="inlineStr">
        <is>
          <t>x PoS sales</t>
        </is>
      </c>
      <c r="B26" s="22">
        <f>B25*B5</f>
        <v/>
      </c>
      <c r="C26" s="22">
        <f>C25*B5</f>
        <v/>
      </c>
      <c r="D26" s="22">
        <f>D25*B5</f>
        <v/>
      </c>
      <c r="E26" s="22">
        <f>E25*B5</f>
        <v/>
      </c>
      <c r="F26" s="22">
        <f>F25*B5</f>
        <v/>
      </c>
      <c r="G26" s="22">
        <f>G25*B5</f>
        <v/>
      </c>
      <c r="H26" s="22">
        <f>H25*B5</f>
        <v/>
      </c>
      <c r="I26" s="22">
        <f>I25*B5</f>
        <v/>
      </c>
      <c r="J26" s="22">
        <f>J25*B5</f>
        <v/>
      </c>
      <c r="K26" s="22">
        <f>K25*B5</f>
        <v/>
      </c>
      <c r="L26" s="22">
        <f>L25*B5</f>
        <v/>
      </c>
      <c r="M26" s="22">
        <f>M25*B5</f>
        <v/>
      </c>
      <c r="N26" s="22">
        <f>N25*B5</f>
        <v/>
      </c>
      <c r="O26" s="22">
        <f>O25*B5</f>
        <v/>
      </c>
      <c r="P26" s="22">
        <f>P25*B5</f>
        <v/>
      </c>
    </row>
    <row r="27">
      <c r="A27" t="inlineStr">
        <is>
          <t>EBIT</t>
        </is>
      </c>
      <c r="B27" s="22">
        <f>IF(2026&lt;B6,IF(2026&gt;=2026,-B17,0),B26*(1-B14-B15-B16))</f>
        <v/>
      </c>
      <c r="C27" s="22">
        <f>IF(2027&lt;B6,IF(2027&gt;=2026,-B17,0),C26*(1-B14-B15-B16))</f>
        <v/>
      </c>
      <c r="D27" s="22">
        <f>IF(2028&lt;B6,IF(2028&gt;=2026,-B17,0),D26*(1-B14-B15-B16))</f>
        <v/>
      </c>
      <c r="E27" s="22">
        <f>IF(2029&lt;B6,IF(2029&gt;=2026,-B17,0),E26*(1-B14-B15-B16))</f>
        <v/>
      </c>
      <c r="F27" s="22">
        <f>IF(2030&lt;B6,IF(2030&gt;=2026,-B17,0),F26*(1-B14-B15-B16))</f>
        <v/>
      </c>
      <c r="G27" s="22">
        <f>IF(2031&lt;B6,IF(2031&gt;=2026,-B17,0),G26*(1-B14-B15-B16))</f>
        <v/>
      </c>
      <c r="H27" s="22">
        <f>IF(2032&lt;B6,IF(2032&gt;=2026,-B17,0),H26*(1-B14-B15-B16))</f>
        <v/>
      </c>
      <c r="I27" s="22">
        <f>IF(2033&lt;B6,IF(2033&gt;=2026,-B17,0),I26*(1-B14-B15-B16))</f>
        <v/>
      </c>
      <c r="J27" s="22">
        <f>IF(2034&lt;B6,IF(2034&gt;=2026,-B17,0),J26*(1-B14-B15-B16))</f>
        <v/>
      </c>
      <c r="K27" s="22">
        <f>IF(2035&lt;B6,IF(2035&gt;=2026,-B17,0),K26*(1-B14-B15-B16))</f>
        <v/>
      </c>
      <c r="L27" s="22">
        <f>IF(2036&lt;B6,IF(2036&gt;=2026,-B17,0),L26*(1-B14-B15-B16))</f>
        <v/>
      </c>
      <c r="M27" s="22">
        <f>IF(2037&lt;B6,IF(2037&gt;=2026,-B17,0),M26*(1-B14-B15-B16))</f>
        <v/>
      </c>
      <c r="N27" s="22">
        <f>IF(2038&lt;B6,IF(2038&gt;=2026,-B17,0),N26*(1-B14-B15-B16))</f>
        <v/>
      </c>
      <c r="O27" s="22">
        <f>IF(2039&lt;B6,IF(2039&gt;=2026,-B17,0),O26*(1-B14-B15-B16))</f>
        <v/>
      </c>
      <c r="P27" s="22">
        <f>IF(2040&lt;B6,IF(2040&gt;=2026,-B17,0),P26*(1-B14-B15-B16))</f>
        <v/>
      </c>
    </row>
    <row r="28">
      <c r="A28" t="inlineStr">
        <is>
          <t>FCFF (risk-adj)</t>
        </is>
      </c>
      <c r="B28" s="22">
        <f>IF(B27&gt;0,B27*(1-B19),B27)</f>
        <v/>
      </c>
      <c r="C28" s="22">
        <f>IF(C27&gt;0,C27*(1-B19),C27)</f>
        <v/>
      </c>
      <c r="D28" s="22">
        <f>IF(D27&gt;0,D27*(1-B19),D27)</f>
        <v/>
      </c>
      <c r="E28" s="22">
        <f>IF(E27&gt;0,E27*(1-B19),E27)</f>
        <v/>
      </c>
      <c r="F28" s="22">
        <f>IF(F27&gt;0,F27*(1-B19),F27)</f>
        <v/>
      </c>
      <c r="G28" s="22">
        <f>IF(G27&gt;0,G27*(1-B19),G27)</f>
        <v/>
      </c>
      <c r="H28" s="22">
        <f>IF(H27&gt;0,H27*(1-B19),H27)</f>
        <v/>
      </c>
      <c r="I28" s="22">
        <f>IF(I27&gt;0,I27*(1-B19),I27)</f>
        <v/>
      </c>
      <c r="J28" s="22">
        <f>IF(J27&gt;0,J27*(1-B19),J27)</f>
        <v/>
      </c>
      <c r="K28" s="22">
        <f>IF(K27&gt;0,K27*(1-B19),K27)</f>
        <v/>
      </c>
      <c r="L28" s="22">
        <f>IF(L27&gt;0,L27*(1-B19),L27)</f>
        <v/>
      </c>
      <c r="M28" s="22">
        <f>IF(M27&gt;0,M27*(1-B19),M27)</f>
        <v/>
      </c>
      <c r="N28" s="22">
        <f>IF(N27&gt;0,N27*(1-B19),N27)</f>
        <v/>
      </c>
      <c r="O28" s="22">
        <f>IF(O27&gt;0,O27*(1-B19),O27)</f>
        <v/>
      </c>
      <c r="P28" s="22">
        <f>IF(P27&gt;0,P27*(1-B19),P27)</f>
        <v/>
      </c>
    </row>
    <row r="29">
      <c r="A29" t="inlineStr">
        <is>
          <t>PV of FCFF</t>
        </is>
      </c>
      <c r="B29" s="22">
        <f>B28/(1+VKTX_WACC!B11)^1</f>
        <v/>
      </c>
      <c r="C29" s="22">
        <f>C28/(1+VKTX_WACC!B11)^2</f>
        <v/>
      </c>
      <c r="D29" s="22">
        <f>D28/(1+VKTX_WACC!B11)^3</f>
        <v/>
      </c>
      <c r="E29" s="22">
        <f>E28/(1+VKTX_WACC!B11)^4</f>
        <v/>
      </c>
      <c r="F29" s="22">
        <f>F28/(1+VKTX_WACC!B11)^5</f>
        <v/>
      </c>
      <c r="G29" s="22">
        <f>G28/(1+VKTX_WACC!B11)^6</f>
        <v/>
      </c>
      <c r="H29" s="22">
        <f>H28/(1+VKTX_WACC!B11)^7</f>
        <v/>
      </c>
      <c r="I29" s="22">
        <f>I28/(1+VKTX_WACC!B11)^8</f>
        <v/>
      </c>
      <c r="J29" s="22">
        <f>J28/(1+VKTX_WACC!B11)^9</f>
        <v/>
      </c>
      <c r="K29" s="22">
        <f>K28/(1+VKTX_WACC!B11)^10</f>
        <v/>
      </c>
      <c r="L29" s="22">
        <f>L28/(1+VKTX_WACC!B11)^11</f>
        <v/>
      </c>
      <c r="M29" s="22">
        <f>M28/(1+VKTX_WACC!B11)^12</f>
        <v/>
      </c>
      <c r="N29" s="22">
        <f>N28/(1+VKTX_WACC!B11)^13</f>
        <v/>
      </c>
      <c r="O29" s="22">
        <f>O28/(1+VKTX_WACC!B11)^14</f>
        <v/>
      </c>
      <c r="P29" s="22">
        <f>P28/(1+VKTX_WACC!B11)^15</f>
        <v/>
      </c>
    </row>
    <row r="31">
      <c r="A31" s="3" t="inlineStr">
        <is>
          <t>ORAL VK2735 ($M)</t>
        </is>
      </c>
      <c r="B31" s="3" t="n">
        <v>2026</v>
      </c>
      <c r="C31" s="3" t="n">
        <v>2027</v>
      </c>
      <c r="D31" s="3" t="n">
        <v>2028</v>
      </c>
      <c r="E31" s="3" t="n">
        <v>2029</v>
      </c>
      <c r="F31" s="3" t="n">
        <v>2030</v>
      </c>
      <c r="G31" s="3" t="n">
        <v>2031</v>
      </c>
      <c r="H31" s="3" t="n">
        <v>2032</v>
      </c>
      <c r="I31" s="3" t="n">
        <v>2033</v>
      </c>
      <c r="J31" s="3" t="n">
        <v>2034</v>
      </c>
      <c r="K31" s="3" t="n">
        <v>2035</v>
      </c>
      <c r="L31" s="3" t="n">
        <v>2036</v>
      </c>
      <c r="M31" s="3" t="n">
        <v>2037</v>
      </c>
      <c r="N31" s="3" t="n">
        <v>2038</v>
      </c>
      <c r="O31" s="3" t="n">
        <v>2039</v>
      </c>
      <c r="P31" s="3" t="n">
        <v>2040</v>
      </c>
    </row>
    <row r="32">
      <c r="A32" t="inlineStr">
        <is>
          <t>Unadj. sales</t>
        </is>
      </c>
      <c r="B32" s="22">
        <f>IF(2026&lt;B10,0,IF(2026-B10+1&lt;=B11,B8*(2026-B10+1)/B11,B8*(1+B13)^MAX(0,2026-B10+1-B12))))</f>
        <v/>
      </c>
      <c r="C32" s="22">
        <f>IF(2027&lt;B10,0,IF(2027-B10+1&lt;=B11,B8*(2027-B10+1)/B11,B8*(1+B13)^MAX(0,2027-B10+1-B12))))</f>
        <v/>
      </c>
      <c r="D32" s="22">
        <f>IF(2028&lt;B10,0,IF(2028-B10+1&lt;=B11,B8*(2028-B10+1)/B11,B8*(1+B13)^MAX(0,2028-B10+1-B12))))</f>
        <v/>
      </c>
      <c r="E32" s="22">
        <f>IF(2029&lt;B10,0,IF(2029-B10+1&lt;=B11,B8*(2029-B10+1)/B11,B8*(1+B13)^MAX(0,2029-B10+1-B12))))</f>
        <v/>
      </c>
      <c r="F32" s="22">
        <f>IF(2030&lt;B10,0,IF(2030-B10+1&lt;=B11,B8*(2030-B10+1)/B11,B8*(1+B13)^MAX(0,2030-B10+1-B12))))</f>
        <v/>
      </c>
      <c r="G32" s="22">
        <f>IF(2031&lt;B10,0,IF(2031-B10+1&lt;=B11,B8*(2031-B10+1)/B11,B8*(1+B13)^MAX(0,2031-B10+1-B12))))</f>
        <v/>
      </c>
      <c r="H32" s="22">
        <f>IF(2032&lt;B10,0,IF(2032-B10+1&lt;=B11,B8*(2032-B10+1)/B11,B8*(1+B13)^MAX(0,2032-B10+1-B12))))</f>
        <v/>
      </c>
      <c r="I32" s="22">
        <f>IF(2033&lt;B10,0,IF(2033-B10+1&lt;=B11,B8*(2033-B10+1)/B11,B8*(1+B13)^MAX(0,2033-B10+1-B12))))</f>
        <v/>
      </c>
      <c r="J32" s="22">
        <f>IF(2034&lt;B10,0,IF(2034-B10+1&lt;=B11,B8*(2034-B10+1)/B11,B8*(1+B13)^MAX(0,2034-B10+1-B12))))</f>
        <v/>
      </c>
      <c r="K32" s="22">
        <f>IF(2035&lt;B10,0,IF(2035-B10+1&lt;=B11,B8*(2035-B10+1)/B11,B8*(1+B13)^MAX(0,2035-B10+1-B12))))</f>
        <v/>
      </c>
      <c r="L32" s="22">
        <f>IF(2036&lt;B10,0,IF(2036-B10+1&lt;=B11,B8*(2036-B10+1)/B11,B8*(1+B13)^MAX(0,2036-B10+1-B12))))</f>
        <v/>
      </c>
      <c r="M32" s="22">
        <f>IF(2037&lt;B10,0,IF(2037-B10+1&lt;=B11,B8*(2037-B10+1)/B11,B8*(1+B13)^MAX(0,2037-B10+1-B12))))</f>
        <v/>
      </c>
      <c r="N32" s="22">
        <f>IF(2038&lt;B10,0,IF(2038-B10+1&lt;=B11,B8*(2038-B10+1)/B11,B8*(1+B13)^MAX(0,2038-B10+1-B12))))</f>
        <v/>
      </c>
      <c r="O32" s="22">
        <f>IF(2039&lt;B10,0,IF(2039-B10+1&lt;=B11,B8*(2039-B10+1)/B11,B8*(1+B13)^MAX(0,2039-B10+1-B12))))</f>
        <v/>
      </c>
      <c r="P32" s="22">
        <f>IF(2040&lt;B10,0,IF(2040-B10+1&lt;=B11,B8*(2040-B10+1)/B11,B8*(1+B13)^MAX(0,2040-B10+1-B12))))</f>
        <v/>
      </c>
    </row>
    <row r="33">
      <c r="A33" t="inlineStr">
        <is>
          <t>x PoS sales</t>
        </is>
      </c>
      <c r="B33" s="22">
        <f>B32*B9</f>
        <v/>
      </c>
      <c r="C33" s="22">
        <f>C32*B9</f>
        <v/>
      </c>
      <c r="D33" s="22">
        <f>D32*B9</f>
        <v/>
      </c>
      <c r="E33" s="22">
        <f>E32*B9</f>
        <v/>
      </c>
      <c r="F33" s="22">
        <f>F32*B9</f>
        <v/>
      </c>
      <c r="G33" s="22">
        <f>G32*B9</f>
        <v/>
      </c>
      <c r="H33" s="22">
        <f>H32*B9</f>
        <v/>
      </c>
      <c r="I33" s="22">
        <f>I32*B9</f>
        <v/>
      </c>
      <c r="J33" s="22">
        <f>J32*B9</f>
        <v/>
      </c>
      <c r="K33" s="22">
        <f>K32*B9</f>
        <v/>
      </c>
      <c r="L33" s="22">
        <f>L32*B9</f>
        <v/>
      </c>
      <c r="M33" s="22">
        <f>M32*B9</f>
        <v/>
      </c>
      <c r="N33" s="22">
        <f>N32*B9</f>
        <v/>
      </c>
      <c r="O33" s="22">
        <f>O32*B9</f>
        <v/>
      </c>
      <c r="P33" s="22">
        <f>P32*B9</f>
        <v/>
      </c>
    </row>
    <row r="34">
      <c r="A34" t="inlineStr">
        <is>
          <t>EBIT</t>
        </is>
      </c>
      <c r="B34" s="22">
        <f>IF(2026&lt;B10,IF(2026&gt;=2026,-B18,0),B33*(1-B14-B15-B16))</f>
        <v/>
      </c>
      <c r="C34" s="22">
        <f>IF(2027&lt;B10,IF(2027&gt;=2026,-B18,0),C33*(1-B14-B15-B16))</f>
        <v/>
      </c>
      <c r="D34" s="22">
        <f>IF(2028&lt;B10,IF(2028&gt;=2026,-B18,0),D33*(1-B14-B15-B16))</f>
        <v/>
      </c>
      <c r="E34" s="22">
        <f>IF(2029&lt;B10,IF(2029&gt;=2026,-B18,0),E33*(1-B14-B15-B16))</f>
        <v/>
      </c>
      <c r="F34" s="22">
        <f>IF(2030&lt;B10,IF(2030&gt;=2026,-B18,0),F33*(1-B14-B15-B16))</f>
        <v/>
      </c>
      <c r="G34" s="22">
        <f>IF(2031&lt;B10,IF(2031&gt;=2026,-B18,0),G33*(1-B14-B15-B16))</f>
        <v/>
      </c>
      <c r="H34" s="22">
        <f>IF(2032&lt;B10,IF(2032&gt;=2026,-B18,0),H33*(1-B14-B15-B16))</f>
        <v/>
      </c>
      <c r="I34" s="22">
        <f>IF(2033&lt;B10,IF(2033&gt;=2026,-B18,0),I33*(1-B14-B15-B16))</f>
        <v/>
      </c>
      <c r="J34" s="22">
        <f>IF(2034&lt;B10,IF(2034&gt;=2026,-B18,0),J33*(1-B14-B15-B16))</f>
        <v/>
      </c>
      <c r="K34" s="22">
        <f>IF(2035&lt;B10,IF(2035&gt;=2026,-B18,0),K33*(1-B14-B15-B16))</f>
        <v/>
      </c>
      <c r="L34" s="22">
        <f>IF(2036&lt;B10,IF(2036&gt;=2026,-B18,0),L33*(1-B14-B15-B16))</f>
        <v/>
      </c>
      <c r="M34" s="22">
        <f>IF(2037&lt;B10,IF(2037&gt;=2026,-B18,0),M33*(1-B14-B15-B16))</f>
        <v/>
      </c>
      <c r="N34" s="22">
        <f>IF(2038&lt;B10,IF(2038&gt;=2026,-B18,0),N33*(1-B14-B15-B16))</f>
        <v/>
      </c>
      <c r="O34" s="22">
        <f>IF(2039&lt;B10,IF(2039&gt;=2026,-B18,0),O33*(1-B14-B15-B16))</f>
        <v/>
      </c>
      <c r="P34" s="22">
        <f>IF(2040&lt;B10,IF(2040&gt;=2026,-B18,0),P33*(1-B14-B15-B16))</f>
        <v/>
      </c>
    </row>
    <row r="35">
      <c r="A35" t="inlineStr">
        <is>
          <t>FCFF (risk-adj)</t>
        </is>
      </c>
      <c r="B35" s="22">
        <f>IF(B34&gt;0,B34*(1-B19),B34)</f>
        <v/>
      </c>
      <c r="C35" s="22">
        <f>IF(C34&gt;0,C34*(1-B19),C34)</f>
        <v/>
      </c>
      <c r="D35" s="22">
        <f>IF(D34&gt;0,D34*(1-B19),D34)</f>
        <v/>
      </c>
      <c r="E35" s="22">
        <f>IF(E34&gt;0,E34*(1-B19),E34)</f>
        <v/>
      </c>
      <c r="F35" s="22">
        <f>IF(F34&gt;0,F34*(1-B19),F34)</f>
        <v/>
      </c>
      <c r="G35" s="22">
        <f>IF(G34&gt;0,G34*(1-B19),G34)</f>
        <v/>
      </c>
      <c r="H35" s="22">
        <f>IF(H34&gt;0,H34*(1-B19),H34)</f>
        <v/>
      </c>
      <c r="I35" s="22">
        <f>IF(I34&gt;0,I34*(1-B19),I34)</f>
        <v/>
      </c>
      <c r="J35" s="22">
        <f>IF(J34&gt;0,J34*(1-B19),J34)</f>
        <v/>
      </c>
      <c r="K35" s="22">
        <f>IF(K34&gt;0,K34*(1-B19),K34)</f>
        <v/>
      </c>
      <c r="L35" s="22">
        <f>IF(L34&gt;0,L34*(1-B19),L34)</f>
        <v/>
      </c>
      <c r="M35" s="22">
        <f>IF(M34&gt;0,M34*(1-B19),M34)</f>
        <v/>
      </c>
      <c r="N35" s="22">
        <f>IF(N34&gt;0,N34*(1-B19),N34)</f>
        <v/>
      </c>
      <c r="O35" s="22">
        <f>IF(O34&gt;0,O34*(1-B19),O34)</f>
        <v/>
      </c>
      <c r="P35" s="22">
        <f>IF(P34&gt;0,P34*(1-B19),P34)</f>
        <v/>
      </c>
    </row>
    <row r="36">
      <c r="A36" t="inlineStr">
        <is>
          <t>PV of FCFF</t>
        </is>
      </c>
      <c r="B36" s="22">
        <f>B35/(1+VKTX_WACC!B11)^1</f>
        <v/>
      </c>
      <c r="C36" s="22">
        <f>C35/(1+VKTX_WACC!B11)^2</f>
        <v/>
      </c>
      <c r="D36" s="22">
        <f>D35/(1+VKTX_WACC!B11)^3</f>
        <v/>
      </c>
      <c r="E36" s="22">
        <f>E35/(1+VKTX_WACC!B11)^4</f>
        <v/>
      </c>
      <c r="F36" s="22">
        <f>F35/(1+VKTX_WACC!B11)^5</f>
        <v/>
      </c>
      <c r="G36" s="22">
        <f>G35/(1+VKTX_WACC!B11)^6</f>
        <v/>
      </c>
      <c r="H36" s="22">
        <f>H35/(1+VKTX_WACC!B11)^7</f>
        <v/>
      </c>
      <c r="I36" s="22">
        <f>I35/(1+VKTX_WACC!B11)^8</f>
        <v/>
      </c>
      <c r="J36" s="22">
        <f>J35/(1+VKTX_WACC!B11)^9</f>
        <v/>
      </c>
      <c r="K36" s="22">
        <f>K35/(1+VKTX_WACC!B11)^10</f>
        <v/>
      </c>
      <c r="L36" s="22">
        <f>L35/(1+VKTX_WACC!B11)^11</f>
        <v/>
      </c>
      <c r="M36" s="22">
        <f>M35/(1+VKTX_WACC!B11)^12</f>
        <v/>
      </c>
      <c r="N36" s="22">
        <f>N35/(1+VKTX_WACC!B11)^13</f>
        <v/>
      </c>
      <c r="O36" s="22">
        <f>O35/(1+VKTX_WACC!B11)^14</f>
        <v/>
      </c>
      <c r="P36" s="22">
        <f>P35/(1+VKTX_WACC!B11)^15</f>
        <v/>
      </c>
    </row>
    <row r="38">
      <c r="A38" s="21" t="inlineStr">
        <is>
          <t>rNPV SUMMARY ($M)</t>
        </is>
      </c>
    </row>
    <row r="39">
      <c r="A39" t="inlineStr">
        <is>
          <t>PV sub-q (risk-adj)</t>
        </is>
      </c>
      <c r="B39" s="15">
        <f>SUM(B29:P29)</f>
        <v/>
      </c>
    </row>
    <row r="40">
      <c r="A40" t="inlineStr">
        <is>
          <t>PV oral (risk-adj)</t>
        </is>
      </c>
      <c r="B40" s="15">
        <f>SUM(B36:P36)</f>
        <v/>
      </c>
    </row>
    <row r="41">
      <c r="A41" s="11" t="inlineStr">
        <is>
          <t>Pipeline rNPV</t>
        </is>
      </c>
      <c r="B41" s="25">
        <f>B39+B40</f>
        <v/>
      </c>
    </row>
    <row r="42">
      <c r="A42" t="inlineStr">
        <is>
          <t>+ Net cash</t>
        </is>
      </c>
      <c r="B42" s="15">
        <f>B20</f>
        <v/>
      </c>
    </row>
    <row r="43">
      <c r="A43" s="11" t="inlineStr">
        <is>
          <t>Equity value (pre-dilution)</t>
        </is>
      </c>
      <c r="B43" s="25">
        <f>B41+B42</f>
        <v/>
      </c>
    </row>
    <row r="45">
      <c r="A45" s="21" t="inlineStr">
        <is>
          <t>THREE SCENARIOS — value per share</t>
        </is>
      </c>
    </row>
    <row r="46">
      <c r="A46" s="3" t="inlineStr">
        <is>
          <t>Scenario</t>
        </is>
      </c>
      <c r="B46" s="3" t="inlineStr">
        <is>
          <t>Equity $M</t>
        </is>
      </c>
      <c r="C46" s="3" t="inlineStr">
        <is>
          <t>Shares M</t>
        </is>
      </c>
      <c r="D46" s="3" t="inlineStr">
        <is>
          <t>$/share</t>
        </is>
      </c>
    </row>
    <row r="47">
      <c r="A47" t="inlineStr">
        <is>
          <t>1) Solo launch (dilution-adj)</t>
        </is>
      </c>
      <c r="B47" s="22">
        <f>B43</f>
        <v/>
      </c>
      <c r="C47" s="31">
        <f>B21+B22</f>
        <v/>
      </c>
      <c r="D47" s="32">
        <f>B47/C47</f>
        <v/>
      </c>
    </row>
    <row r="48">
      <c r="A48" t="inlineStr">
        <is>
          <t>2) Partnership (royalty+milestones)</t>
        </is>
      </c>
      <c r="B48" s="22">
        <f>B41*0.55+B20</f>
        <v/>
      </c>
      <c r="C48" s="31">
        <f>B21</f>
        <v/>
      </c>
      <c r="D48" s="32">
        <f>B48/C48</f>
        <v/>
      </c>
      <c r="E48" s="5" t="inlineStr">
        <is>
          <t>~55% of pipeline econ; no dilution (partner funds)</t>
        </is>
      </c>
    </row>
    <row r="49">
      <c r="A49" t="inlineStr">
        <is>
          <t>3) Acquisition (Metsera-comp takeout)</t>
        </is>
      </c>
      <c r="B49" s="22">
        <f>B43*1.4</f>
        <v/>
      </c>
      <c r="C49" s="31">
        <f>B21</f>
        <v/>
      </c>
      <c r="D49" s="32">
        <f>B49/C49</f>
        <v/>
      </c>
      <c r="E49" s="5" t="inlineStr">
        <is>
          <t>~40% control premium on rNPV; Pfizer/Metsera went $4.9bn-&gt;~$10bn in a bidding war</t>
        </is>
      </c>
    </row>
    <row r="51">
      <c r="A51" t="inlineStr">
        <is>
          <t>Current price (29-Apr-26)</t>
        </is>
      </c>
      <c r="B51" s="26" t="n">
        <v>31.33</v>
      </c>
    </row>
    <row r="52" ht="40" customHeight="1">
      <c r="A52" s="5" t="inlineStr">
        <is>
          <t>Capital need is not optional: ~$630M/yr burn vs $603M cash = &lt;1.5yr runway. A raise or partner is the BASE case, not a scenario. Solo economics are diluted by design.</t>
        </is>
      </c>
    </row>
  </sheetData>
  <mergeCells count="3">
    <mergeCell ref="D3:P3"/>
    <mergeCell ref="A1:P1"/>
    <mergeCell ref="A52:H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</cols>
  <sheetData>
    <row r="1" ht="24" customHeight="1">
      <c r="A1" s="1" t="inlineStr">
        <is>
          <t>VKTX — Discount rate (pre-commercial biotech)</t>
        </is>
      </c>
    </row>
    <row r="3" ht="54" customHeight="1">
      <c r="A3" s="5" t="inlineStr">
        <is>
          <t>A single-stock beta is meaningless for a pre-revenue, event-driven biotech (price = binary trial outcomes, not market co-movement). We therefore build the rate from an industry unlevered beta + an explicit small-cap / execution premium.</t>
        </is>
      </c>
    </row>
    <row r="5">
      <c r="A5" s="3" t="inlineStr">
        <is>
          <t>Input</t>
        </is>
      </c>
      <c r="B5" s="3" t="inlineStr">
        <is>
          <t>Value</t>
        </is>
      </c>
      <c r="C5" s="3" t="inlineStr">
        <is>
          <t>Basis</t>
        </is>
      </c>
    </row>
    <row r="6" ht="26" customHeight="1">
      <c r="A6" t="inlineStr">
        <is>
          <t>Risk-free (10Y UST, 1-Jul-26)</t>
        </is>
      </c>
      <c r="B6" s="9" t="n">
        <v>0.0446</v>
      </c>
      <c r="C6" s="4" t="inlineStr">
        <is>
          <t>4.46%</t>
        </is>
      </c>
    </row>
    <row r="7" ht="26" customHeight="1">
      <c r="A7" t="inlineStr">
        <is>
          <t>Industry beta (pre-comm. biotech, levered)</t>
        </is>
      </c>
      <c r="B7" s="9" t="n">
        <v>1.3</v>
      </c>
      <c r="C7" s="4" t="inlineStr">
        <is>
          <t>Biotech/pharma high-risk cohort ~1.1-1.4</t>
        </is>
      </c>
    </row>
    <row r="8" ht="26" customHeight="1">
      <c r="A8" t="inlineStr">
        <is>
          <t>Equity risk premium</t>
        </is>
      </c>
      <c r="B8" s="9" t="n">
        <v>0.05</v>
      </c>
      <c r="C8" s="4" t="inlineStr">
        <is>
          <t>5.0% (as AMGN)</t>
        </is>
      </c>
    </row>
    <row r="9">
      <c r="A9" s="11" t="inlineStr">
        <is>
          <t>CAPM cost of equity = Rf+beta*ERP</t>
        </is>
      </c>
      <c r="B9" s="14">
        <f>B6+B7*B8</f>
        <v/>
      </c>
    </row>
    <row r="10" ht="26" customHeight="1">
      <c r="A10" t="inlineStr">
        <is>
          <t>+ Small-cap / clinical-execution premium</t>
        </is>
      </c>
      <c r="B10" s="9" t="n">
        <v>0.02</v>
      </c>
      <c r="C10" s="4" t="inlineStr">
        <is>
          <t>Single-asset concentration, financing risk</t>
        </is>
      </c>
    </row>
    <row r="11">
      <c r="A11" s="11" t="inlineStr">
        <is>
          <t>Discount rate used (rNPV)</t>
        </is>
      </c>
      <c r="B11" s="17">
        <f>B9+B10</f>
        <v/>
      </c>
    </row>
    <row r="13" ht="40" customHeight="1">
      <c r="A13" s="5" t="inlineStr">
        <is>
          <t>Result ~13%. We explicitly REJECT a ~8% WACC for a pre-revenue biotech. Sensitivity tab stresses 11%-14%. No debt in the stack (net cash), so no WACC blend.</t>
        </is>
      </c>
    </row>
  </sheetData>
  <mergeCells count="3">
    <mergeCell ref="A3:C3"/>
    <mergeCell ref="A13:C1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Sensitivity — AMGN (price) &amp; VKTX (rNPV/share)</t>
        </is>
      </c>
    </row>
    <row r="3">
      <c r="A3" s="2" t="inlineStr">
        <is>
          <t>AMGN-1: Blended fair value  (rows=WACC, cols=terminal g)  green&gt;=+15% vs $339, red&lt;=-15%</t>
        </is>
      </c>
    </row>
    <row r="4">
      <c r="A4" s="5" t="inlineStr">
        <is>
          <t>Base WACC ~7.0%, g=2.25%.</t>
        </is>
      </c>
    </row>
    <row r="5">
      <c r="A5" s="3" t="inlineStr"/>
      <c r="B5" s="3" t="inlineStr">
        <is>
          <t>g=1.50%</t>
        </is>
      </c>
      <c r="C5" s="3" t="inlineStr">
        <is>
          <t>g=2.00%</t>
        </is>
      </c>
      <c r="D5" s="3" t="inlineStr">
        <is>
          <t>g=2.25%</t>
        </is>
      </c>
      <c r="E5" s="3" t="inlineStr">
        <is>
          <t>g=2.50%</t>
        </is>
      </c>
    </row>
    <row r="6">
      <c r="A6" s="3" t="inlineStr">
        <is>
          <t>6.50%</t>
        </is>
      </c>
      <c r="B6" s="37" t="n">
        <v>288.62</v>
      </c>
      <c r="C6" s="37" t="n">
        <v>303.27</v>
      </c>
      <c r="D6" s="37" t="n">
        <v>311.88</v>
      </c>
      <c r="E6" s="37" t="n">
        <v>321.58</v>
      </c>
    </row>
    <row r="7">
      <c r="A7" s="3" t="inlineStr">
        <is>
          <t>7.00%</t>
        </is>
      </c>
      <c r="B7" s="38" t="n">
        <v>264.05</v>
      </c>
      <c r="C7" s="38" t="n">
        <v>275.54</v>
      </c>
      <c r="D7" s="38" t="n">
        <v>282.19</v>
      </c>
      <c r="E7" s="37" t="n">
        <v>289.58</v>
      </c>
    </row>
    <row r="8">
      <c r="A8" s="3" t="inlineStr">
        <is>
          <t>7.50%</t>
        </is>
      </c>
      <c r="B8" s="38" t="n">
        <v>242.83</v>
      </c>
      <c r="C8" s="38" t="n">
        <v>252.01</v>
      </c>
      <c r="D8" s="38" t="n">
        <v>257.26</v>
      </c>
      <c r="E8" s="38" t="n">
        <v>263.03</v>
      </c>
    </row>
    <row r="9">
      <c r="A9" s="3" t="inlineStr">
        <is>
          <t>8.00%</t>
        </is>
      </c>
      <c r="B9" s="38" t="n">
        <v>224.25</v>
      </c>
      <c r="C9" s="38" t="n">
        <v>231.7</v>
      </c>
      <c r="D9" s="38" t="n">
        <v>235.91</v>
      </c>
      <c r="E9" s="38" t="n">
        <v>240.5</v>
      </c>
    </row>
    <row r="10">
      <c r="A10" s="3" t="inlineStr">
        <is>
          <t>8.50%</t>
        </is>
      </c>
      <c r="B10" s="38" t="n">
        <v>207.78</v>
      </c>
      <c r="C10" s="38" t="n">
        <v>213.9</v>
      </c>
      <c r="D10" s="38" t="n">
        <v>217.33</v>
      </c>
      <c r="E10" s="38" t="n">
        <v>221.05</v>
      </c>
    </row>
    <row r="13">
      <c r="A13" s="2" t="inlineStr">
        <is>
          <t>AMGN-2: Blended fair value  (rows=MariTide PoS, cols=unadj. peak $M)</t>
        </is>
      </c>
    </row>
    <row r="14">
      <c r="A14" s="5" t="inlineStr">
        <is>
          <t>MariTide moves the needle only modestly — AMGN value is dominated by the base business.</t>
        </is>
      </c>
    </row>
    <row r="15">
      <c r="A15" s="3" t="inlineStr"/>
      <c r="B15" s="3" t="inlineStr">
        <is>
          <t>$2bn</t>
        </is>
      </c>
      <c r="C15" s="3" t="inlineStr">
        <is>
          <t>$5bn</t>
        </is>
      </c>
      <c r="D15" s="3" t="inlineStr">
        <is>
          <t>$8bn</t>
        </is>
      </c>
      <c r="E15" s="3" t="inlineStr">
        <is>
          <t>$12bn</t>
        </is>
      </c>
    </row>
    <row r="16">
      <c r="A16" s="3" t="inlineStr">
        <is>
          <t>PoS 40%</t>
        </is>
      </c>
      <c r="B16" s="38" t="n">
        <v>271.1</v>
      </c>
      <c r="C16" s="38" t="n">
        <v>277.1</v>
      </c>
      <c r="D16" s="38" t="n">
        <v>283.1</v>
      </c>
      <c r="E16" s="37" t="n">
        <v>291.1</v>
      </c>
    </row>
    <row r="17">
      <c r="A17" s="3" t="inlineStr">
        <is>
          <t>PoS 50%</t>
        </is>
      </c>
      <c r="B17" s="38" t="n">
        <v>272.1</v>
      </c>
      <c r="C17" s="38" t="n">
        <v>279.6</v>
      </c>
      <c r="D17" s="38" t="n">
        <v>287.1</v>
      </c>
      <c r="E17" s="37" t="n">
        <v>297.1</v>
      </c>
    </row>
    <row r="18">
      <c r="A18" s="3" t="inlineStr">
        <is>
          <t>PoS 60%</t>
        </is>
      </c>
      <c r="B18" s="38" t="n">
        <v>273.1</v>
      </c>
      <c r="C18" s="38" t="n">
        <v>282.1</v>
      </c>
      <c r="D18" s="37" t="n">
        <v>291.1</v>
      </c>
      <c r="E18" s="37" t="n">
        <v>303.1</v>
      </c>
    </row>
    <row r="19">
      <c r="A19" s="3" t="inlineStr">
        <is>
          <t>PoS 70%</t>
        </is>
      </c>
      <c r="B19" s="38" t="n">
        <v>274.1</v>
      </c>
      <c r="C19" s="38" t="n">
        <v>284.6</v>
      </c>
      <c r="D19" s="37" t="n">
        <v>295.1</v>
      </c>
      <c r="E19" s="37" t="n">
        <v>309.1</v>
      </c>
    </row>
    <row r="22">
      <c r="A22" s="2" t="inlineStr">
        <is>
          <t>VKTX-1: rNPV/share, SOLO (rows=sub-q PoS, cols=sub-q unadj. peak $M; oral scaled)</t>
        </is>
      </c>
    </row>
    <row r="23">
      <c r="A23" s="5" t="inlineStr">
        <is>
          <t>Base sub-q PoS 60%, peak $6bn. Green&gt;=+15% vs $31.33.</t>
        </is>
      </c>
    </row>
    <row r="24">
      <c r="A24" s="3" t="inlineStr"/>
      <c r="B24" s="3" t="inlineStr">
        <is>
          <t>$3bn</t>
        </is>
      </c>
      <c r="C24" s="3" t="inlineStr">
        <is>
          <t>$6bn</t>
        </is>
      </c>
      <c r="D24" s="3" t="inlineStr">
        <is>
          <t>$9bn</t>
        </is>
      </c>
      <c r="E24" s="3" t="inlineStr">
        <is>
          <t>$15bn</t>
        </is>
      </c>
    </row>
    <row r="25">
      <c r="A25" s="3" t="inlineStr">
        <is>
          <t>PoS 45%</t>
        </is>
      </c>
      <c r="B25" s="38" t="n">
        <v>1.37</v>
      </c>
      <c r="C25" s="38" t="n">
        <v>10</v>
      </c>
      <c r="D25" s="38" t="n">
        <v>18.64</v>
      </c>
      <c r="E25" s="37" t="n">
        <v>35.91</v>
      </c>
    </row>
    <row r="26">
      <c r="A26" s="3" t="inlineStr">
        <is>
          <t>PoS 55%</t>
        </is>
      </c>
      <c r="B26" s="38" t="n">
        <v>3.51</v>
      </c>
      <c r="C26" s="38" t="n">
        <v>14.29</v>
      </c>
      <c r="D26" s="38" t="n">
        <v>25.07</v>
      </c>
      <c r="E26" s="39" t="n">
        <v>46.64</v>
      </c>
    </row>
    <row r="27">
      <c r="A27" s="3" t="inlineStr">
        <is>
          <t>PoS 60%</t>
        </is>
      </c>
      <c r="B27" s="38" t="n">
        <v>4.58</v>
      </c>
      <c r="C27" s="38" t="n">
        <v>16.44</v>
      </c>
      <c r="D27" s="37" t="n">
        <v>28.29</v>
      </c>
      <c r="E27" s="39" t="n">
        <v>52</v>
      </c>
    </row>
    <row r="28">
      <c r="A28" s="3" t="inlineStr">
        <is>
          <t>PoS 65%</t>
        </is>
      </c>
      <c r="B28" s="38" t="n">
        <v>5.66</v>
      </c>
      <c r="C28" s="38" t="n">
        <v>18.58</v>
      </c>
      <c r="D28" s="37" t="n">
        <v>31.51</v>
      </c>
      <c r="E28" s="39" t="n">
        <v>57.36</v>
      </c>
    </row>
    <row r="31">
      <c r="A31" s="2" t="inlineStr">
        <is>
          <t>VKTX-2: rNPV/share, SOLO (rows=WACC, cols=launch slip yrs)</t>
        </is>
      </c>
    </row>
    <row r="32">
      <c r="A32" s="5" t="inlineStr">
        <is>
          <t>Every year of delay compounds against a pre-revenue name.</t>
        </is>
      </c>
    </row>
    <row r="33">
      <c r="A33" s="3" t="inlineStr"/>
      <c r="B33" s="3" t="inlineStr">
        <is>
          <t>+0yr</t>
        </is>
      </c>
      <c r="C33" s="3" t="inlineStr">
        <is>
          <t>+1yr</t>
        </is>
      </c>
      <c r="D33" s="3" t="inlineStr">
        <is>
          <t>+2yr</t>
        </is>
      </c>
      <c r="E33" s="3" t="inlineStr">
        <is>
          <t>+3yr</t>
        </is>
      </c>
    </row>
    <row r="34">
      <c r="A34" s="3" t="inlineStr">
        <is>
          <t>11%</t>
        </is>
      </c>
      <c r="B34" s="38" t="n">
        <v>20.1</v>
      </c>
      <c r="C34" s="38" t="n">
        <v>13.21</v>
      </c>
      <c r="D34" s="38" t="n">
        <v>6.81</v>
      </c>
      <c r="E34" s="38" t="n">
        <v>0.77</v>
      </c>
    </row>
    <row r="35">
      <c r="A35" s="3" t="inlineStr">
        <is>
          <t>12%</t>
        </is>
      </c>
      <c r="B35" s="38" t="n">
        <v>18.14</v>
      </c>
      <c r="C35" s="38" t="n">
        <v>11.48</v>
      </c>
      <c r="D35" s="38" t="n">
        <v>5.37</v>
      </c>
      <c r="E35" s="38" t="n">
        <v>-0.33</v>
      </c>
    </row>
    <row r="36">
      <c r="A36" s="3" t="inlineStr">
        <is>
          <t>13%</t>
        </is>
      </c>
      <c r="B36" s="38" t="n">
        <v>16.37</v>
      </c>
      <c r="C36" s="38" t="n">
        <v>9.94</v>
      </c>
      <c r="D36" s="38" t="n">
        <v>4.1</v>
      </c>
      <c r="E36" s="38" t="n">
        <v>-1.27</v>
      </c>
    </row>
    <row r="37">
      <c r="A37" s="3" t="inlineStr">
        <is>
          <t>14%</t>
        </is>
      </c>
      <c r="B37" s="38" t="n">
        <v>14.78</v>
      </c>
      <c r="C37" s="38" t="n">
        <v>8.57</v>
      </c>
      <c r="D37" s="38" t="n">
        <v>2.99</v>
      </c>
      <c r="E37" s="38" t="n">
        <v>-2.08</v>
      </c>
    </row>
  </sheetData>
  <mergeCells count="5">
    <mergeCell ref="A4:E4"/>
    <mergeCell ref="A1:L1"/>
    <mergeCell ref="A23:E23"/>
    <mergeCell ref="A32:E32"/>
    <mergeCell ref="A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6" customWidth="1" min="3" max="3"/>
    <col width="70" customWidth="1" min="4" max="4"/>
  </cols>
  <sheetData>
    <row r="1" ht="24" customHeight="1">
      <c r="A1" s="1" t="inlineStr">
        <is>
          <t>Sources — every external number tagged (filing / publisher + date)</t>
        </is>
      </c>
    </row>
    <row r="3">
      <c r="A3" s="3" t="inlineStr">
        <is>
          <t>Data point</t>
        </is>
      </c>
      <c r="B3" s="3" t="inlineStr">
        <is>
          <t>Source</t>
        </is>
      </c>
      <c r="C3" s="3" t="inlineStr">
        <is>
          <t>Date</t>
        </is>
      </c>
      <c r="D3" s="3" t="inlineStr">
        <is>
          <t>URL / reference</t>
        </is>
      </c>
    </row>
    <row r="4" ht="42" customHeight="1">
      <c r="A4" s="6" t="inlineStr">
        <is>
          <t>AMGN FY25 revenue $36.8bn (+10%), op income $9,080M, net income $7,711M, tax 14.1%, capex $1.9bn, OCF $10.0bn, FCF $8.1bn</t>
        </is>
      </c>
      <c r="B4" s="6" t="inlineStr">
        <is>
          <t>Amgen Q4/FY2025 press release; FY25 10-K</t>
        </is>
      </c>
      <c r="C4" s="6" t="inlineStr">
        <is>
          <t>3-Feb-2026</t>
        </is>
      </c>
      <c r="D4" s="6" t="inlineStr">
        <is>
          <t>prnewswire.com/news-releases/amgen-reports-fourth-quarter-and-full-year-2025-financial-results-302678171.html ; sec.gov Amgen 10-K FY2025</t>
        </is>
      </c>
    </row>
    <row r="5" ht="42" customHeight="1">
      <c r="A5" s="6" t="inlineStr">
        <is>
          <t>AMGN net interest expense FY25 $2,755M; FY24 $3,155M</t>
        </is>
      </c>
      <c r="B5" s="6" t="inlineStr">
        <is>
          <t>Amgen FY25 10-K</t>
        </is>
      </c>
      <c r="C5" s="6" t="inlineStr">
        <is>
          <t>3-Feb-2026</t>
        </is>
      </c>
      <c r="D5" s="6" t="inlineStr">
        <is>
          <t>sec.gov/Archives/edgar/data/318154 (amgn-20251231.htm)</t>
        </is>
      </c>
    </row>
    <row r="6" ht="42" customHeight="1">
      <c r="A6" s="6" t="inlineStr">
        <is>
          <t>AMGN total debt $54.6bn (FY25), $60.1bn (FY24); cash $9.1bn (FY25), $12.0bn (FY24)</t>
        </is>
      </c>
      <c r="B6" s="6" t="inlineStr">
        <is>
          <t>Amgen 10-K FY25 &amp; FY24</t>
        </is>
      </c>
      <c r="C6" s="6" t="inlineStr">
        <is>
          <t>Feb-2026 / Feb-2025</t>
        </is>
      </c>
      <c r="D6" s="6" t="inlineStr">
        <is>
          <t>sec.gov EDGAR CIK 318154</t>
        </is>
      </c>
    </row>
    <row r="7" ht="42" customHeight="1">
      <c r="A7" s="6" t="inlineStr">
        <is>
          <t>AMGN Q1'25 revenue $8,149M; Q1 amort $1.2bn, deprec $209M; Q1'26 amort $896M, deprec $220M (D&amp;A basis)</t>
        </is>
      </c>
      <c r="B7" s="6" t="inlineStr">
        <is>
          <t>Amgen 10-Q Q1'25 &amp; Q1'26</t>
        </is>
      </c>
      <c r="C7" s="6" t="inlineStr">
        <is>
          <t>1-May-2026</t>
        </is>
      </c>
      <c r="D7" s="6" t="inlineStr">
        <is>
          <t>sec.gov/Archives/edgar/data/318154 (amgn-20250331.htm; 05/01/2026 10-Q)</t>
        </is>
      </c>
    </row>
    <row r="8" ht="42" customHeight="1">
      <c r="A8" s="6" t="inlineStr">
        <is>
          <t>AMGN market cap ~$182.5bn; 539.07M shares; price ~$339 (derived); Apr-26 quote $351</t>
        </is>
      </c>
      <c r="B8" s="6" t="inlineStr">
        <is>
          <t>companiesmarketcap / Yahoo Finance</t>
        </is>
      </c>
      <c r="C8" s="6" t="inlineStr">
        <is>
          <t>Jun-2026</t>
        </is>
      </c>
      <c r="D8" s="6" t="inlineStr">
        <is>
          <t>companiesmarketcap.com/amgen/marketcap/ ; finance.yahoo.com/quote/AMGN</t>
        </is>
      </c>
    </row>
    <row r="9" ht="42" customHeight="1">
      <c r="A9" s="6" t="inlineStr">
        <is>
          <t>AMGN beta 0.46 (5Y monthly)</t>
        </is>
      </c>
      <c r="B9" s="6" t="inlineStr">
        <is>
          <t>Yahoo Finance key statistics</t>
        </is>
      </c>
      <c r="C9" s="6" t="inlineStr">
        <is>
          <t>Jul-2026</t>
        </is>
      </c>
      <c r="D9" s="6" t="inlineStr">
        <is>
          <t>finance.yahoo.com/quote/AMGN/key-statistics/</t>
        </is>
      </c>
    </row>
    <row r="10" ht="42" customHeight="1">
      <c r="A10" s="6" t="inlineStr">
        <is>
          <t>MariTide Phase 2 ~up to 20% weight loss w/ elevated GI discontinuation; Phase 3 MARITIME enrolling; launch ~2030</t>
        </is>
      </c>
      <c r="B10" s="6" t="inlineStr">
        <is>
          <t>Amgen PR (ADA 2025); FierceBiotech</t>
        </is>
      </c>
      <c r="C10" s="6" t="inlineStr">
        <is>
          <t>Jun-2025</t>
        </is>
      </c>
      <c r="D10" s="6" t="inlineStr">
        <is>
          <t>amgen.com/newsroom/press-releases/2025/06/... ; fiercebiotech.com</t>
        </is>
      </c>
    </row>
    <row r="11" ht="42" customHeight="1">
      <c r="A11" s="6" t="inlineStr">
        <is>
          <t>Prolia/Xgeva US LOE Feb-2025; denosumab biosimilars launched May–Jul 2025</t>
        </is>
      </c>
      <c r="B11" s="6" t="inlineStr">
        <is>
          <t>GaBI / Center for Biosimilars / pharmaphorum</t>
        </is>
      </c>
      <c r="C11" s="6" t="inlineStr">
        <is>
          <t>2025</t>
        </is>
      </c>
      <c r="D11" s="6" t="inlineStr">
        <is>
          <t>gabionline.net ; centerforbiosimilars.com</t>
        </is>
      </c>
    </row>
    <row r="12" ht="42" customHeight="1">
      <c r="A12" s="6" t="inlineStr">
        <is>
          <t>VKTX cash+STI $603M; 115.9M shares (Mar-26); price $31.33 (29-Apr-26); Q1'26 net loss $158.3M, R&amp;D $150.2M</t>
        </is>
      </c>
      <c r="B12" s="6" t="inlineStr">
        <is>
          <t>Viking Q1'26 results / 8-K</t>
        </is>
      </c>
      <c r="C12" s="6" t="inlineStr">
        <is>
          <t>29-Apr-2026</t>
        </is>
      </c>
      <c r="D12" s="6" t="inlineStr">
        <is>
          <t>prnewswire.com/news-releases/viking-therapeutics-reports-first-quarter-2026... ; sec.gov CIK 1607678</t>
        </is>
      </c>
    </row>
    <row r="13" ht="42" customHeight="1">
      <c r="A13" s="6" t="inlineStr">
        <is>
          <t>VK2735 sub-q Phase 3 VANQUISH-1 (&gt;4,500 pts, enrolled Nov-25) &amp; VANQUISH-2 (~1,000, enrolled Mar-26)</t>
        </is>
      </c>
      <c r="B13" s="6" t="inlineStr">
        <is>
          <t>Viking IR / PRNewswire</t>
        </is>
      </c>
      <c r="C13" s="6" t="inlineStr">
        <is>
          <t>Mar-2026</t>
        </is>
      </c>
      <c r="D13" s="6" t="inlineStr">
        <is>
          <t>ir.vikingtherapeutics.com/2026-03-26-...VANQUISH-2</t>
        </is>
      </c>
    </row>
    <row r="14" ht="42" customHeight="1">
      <c r="A14" s="6" t="inlineStr">
        <is>
          <t>VK2735 oral: Phase 2 VENTURE-Oral up to ~12% at 13 wks; Phase 3 oral start expected 4Q26</t>
        </is>
      </c>
      <c r="B14" s="6" t="inlineStr">
        <is>
          <t>Viking PR (ECO 2026); Applied Clinical Trials</t>
        </is>
      </c>
      <c r="C14" s="6" t="inlineStr">
        <is>
          <t>May-2026</t>
        </is>
      </c>
      <c r="D14" s="6" t="inlineStr">
        <is>
          <t>prnewswire.com/...venture-oral-dosing-trial...eco-2026</t>
        </is>
      </c>
    </row>
    <row r="15" ht="42" customHeight="1">
      <c r="A15" s="6" t="inlineStr">
        <is>
          <t>VK2735 Street peak-sales bull ~$21.6bn; analyst PTs $80 (JPM) / $102 (HC Wainwright) / mean ~$92</t>
        </is>
      </c>
      <c r="B15" s="6" t="inlineStr">
        <is>
          <t>Kavout / TIKR / analyst notes</t>
        </is>
      </c>
      <c r="C15" s="6" t="inlineStr">
        <is>
          <t>2026</t>
        </is>
      </c>
      <c r="D15" s="6" t="inlineStr">
        <is>
          <t>kavout.com ; tikr.com (secondary; treat as UNVERIFIED consensus)</t>
        </is>
      </c>
    </row>
    <row r="16" ht="42" customHeight="1">
      <c r="A16" s="6" t="inlineStr">
        <is>
          <t>Pfizer/Metsera: $4.9bn upfront (up to $7.3bn w/ CVR) -&gt; bidding war w/ Novo -&gt; ~$10bn ($86.25/sh)</t>
        </is>
      </c>
      <c r="B16" s="6" t="inlineStr">
        <is>
          <t>CNBC / BioPharma Dive / Pfizer PR</t>
        </is>
      </c>
      <c r="C16" s="6" t="inlineStr">
        <is>
          <t>Sep–Nov 2025</t>
        </is>
      </c>
      <c r="D16" s="6" t="inlineStr">
        <is>
          <t>cnbc.com/2025/09/22/... ; biopharmadive.com/news/metsera-pfizer-accept-offer...</t>
        </is>
      </c>
    </row>
    <row r="17" ht="42" customHeight="1">
      <c r="A17" s="6" t="inlineStr">
        <is>
          <t>GLP-1/obesity TAM: GS $95–100bn (2030); MS $150bn obesity / $190bn incl T2D (2035); GVR $48.8bn (2030); FMI $39.5bn (2030); Precedence $66.6bn (2035)</t>
        </is>
      </c>
      <c r="B17" s="6" t="inlineStr">
        <is>
          <t>Goldman Sachs / Morgan Stanley / Grand View / Future Market Insights / Precedence</t>
        </is>
      </c>
      <c r="C17" s="6" t="inlineStr">
        <is>
          <t>2025–26</t>
        </is>
      </c>
      <c r="D17" s="6" t="inlineStr">
        <is>
          <t>goldmansachs.com/insights ; morganstanley.com/insights ; grandviewresearch.com ; futuremarketinsights.com ; precedenceresearch.com</t>
        </is>
      </c>
    </row>
    <row r="18" ht="42" customHeight="1">
      <c r="A18" s="6" t="inlineStr">
        <is>
          <t>Competitor phases: Structure GSBR-1290 (P3), Roche CT-388 (P3 starting)+petrelintide, AZN AZD5004 (P2b), Survodutide/Zealand-BI (P3)</t>
        </is>
      </c>
      <c r="B18" s="6" t="inlineStr">
        <is>
          <t>Company PRs / ClinicalTrials.gov / IQVIA</t>
        </is>
      </c>
      <c r="C18" s="6" t="inlineStr">
        <is>
          <t>2026</t>
        </is>
      </c>
      <c r="D18" s="6" t="inlineStr">
        <is>
          <t>structuretx.com ; roche.com/media/releases 2026-01-27 ; clinicaltrials.gov ; iqvia.com</t>
        </is>
      </c>
    </row>
    <row r="19" ht="42" customHeight="1">
      <c r="A19" s="6" t="inlineStr">
        <is>
          <t>Risk-free 10Y UST 4.46%</t>
        </is>
      </c>
      <c r="B19" s="6" t="inlineStr">
        <is>
          <t>TradingEconomics / US Treasury</t>
        </is>
      </c>
      <c r="C19" s="6" t="inlineStr">
        <is>
          <t>1-Jul-2026</t>
        </is>
      </c>
      <c r="D19" s="6" t="inlineStr">
        <is>
          <t>tradingeconomics.com/united-states/government-bond-yield</t>
        </is>
      </c>
    </row>
    <row r="20" ht="42" customHeight="1">
      <c r="A20" s="6" t="inlineStr">
        <is>
          <t>Equity risk premium: Damodaran implied 4.23% (Jan-26); 5.0% used (conservative)</t>
        </is>
      </c>
      <c r="B20" s="6" t="inlineStr">
        <is>
          <t>Aswath Damodaran (NYU Stern) 2026 ERP edition</t>
        </is>
      </c>
      <c r="C20" s="6" t="inlineStr">
        <is>
          <t>Jan/Mar-2026</t>
        </is>
      </c>
      <c r="D20" s="6" t="inlineStr">
        <is>
          <t>pages.stern.nyu.edu/~adamodar/ ; ssrn abstract 6361419</t>
        </is>
      </c>
    </row>
    <row r="22" ht="56" customHeight="1">
      <c r="A22" s="5" t="inlineStr">
        <is>
          <t>UNSOURCED / estimated (flagged, not fabricated): AMGN FY25 D&amp;A total ($5.5bn) estimated from 10-Q quarterly amort+deprec; Prolia+Xgeva 2025 combined revenue (~$6.0bn) approximated; MariTide &amp; VK2735 peak-sales are analyst-triangulated ranges, not company guidance; VKTX consensus peak/PTs are secondary-source and treated as unverified.</t>
        </is>
      </c>
    </row>
  </sheetData>
  <mergeCells count="2">
    <mergeCell ref="A22:D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2026-07-02T00:49:48Z</dcterms:created>
  <dcterms:modified xsi:type="dcterms:W3CDTF">2026-07-02T00:49:49Z</dcterms:modified>
</cp:coreProperties>
</file>